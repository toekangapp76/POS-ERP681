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ndi.purwana\Documents\"/>
    </mc:Choice>
  </mc:AlternateContent>
  <xr:revisionPtr revIDLastSave="0" documentId="13_ncr:1_{78ECD4EE-B3CB-4265-981F-CEA929B449A3}" xr6:coauthVersionLast="47" xr6:coauthVersionMax="47" xr10:uidLastSave="{00000000-0000-0000-0000-000000000000}"/>
  <bookViews>
    <workbookView xWindow="-108" yWindow="-108" windowWidth="23256" windowHeight="12456" xr2:uid="{0FF0E52F-8F5D-4FE5-A07A-1359FEE6C5B7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H3" i="1"/>
  <c r="D3" i="1"/>
  <c r="H2" i="1"/>
  <c r="D2" i="1"/>
</calcChain>
</file>

<file path=xl/sharedStrings.xml><?xml version="1.0" encoding="utf-8"?>
<sst xmlns="http://schemas.openxmlformats.org/spreadsheetml/2006/main" count="50" uniqueCount="27">
  <si>
    <t>Gl Date</t>
  </si>
  <si>
    <t xml:space="preserve">GL Number </t>
  </si>
  <si>
    <t xml:space="preserve">Account Number </t>
  </si>
  <si>
    <t xml:space="preserve">Account Name </t>
  </si>
  <si>
    <t>Description</t>
  </si>
  <si>
    <t>Debet</t>
  </si>
  <si>
    <t xml:space="preserve">Credit </t>
  </si>
  <si>
    <t xml:space="preserve">Balance </t>
  </si>
  <si>
    <t>JE/2025/III/001</t>
  </si>
  <si>
    <t>1101-0202</t>
  </si>
  <si>
    <t>Setoran Modal Awal untuk Pembukaan Bank Index</t>
  </si>
  <si>
    <t>JE/2025/III/002</t>
  </si>
  <si>
    <t xml:space="preserve">Biaya Admin </t>
  </si>
  <si>
    <t>JE/2025/III/003</t>
  </si>
  <si>
    <t xml:space="preserve">Capital from share holder </t>
  </si>
  <si>
    <t>JE/2025/III/004</t>
  </si>
  <si>
    <t xml:space="preserve">Biaya untuk buku cek </t>
  </si>
  <si>
    <t>JE/2025/III/005</t>
  </si>
  <si>
    <t>JE/2025/III/006</t>
  </si>
  <si>
    <t xml:space="preserve">Refund biaya buku cek </t>
  </si>
  <si>
    <t>JE/2025/III/007</t>
  </si>
  <si>
    <t>1101-0201</t>
  </si>
  <si>
    <t>1101-0101</t>
  </si>
  <si>
    <t>2102-0100</t>
  </si>
  <si>
    <t>5200-0000</t>
  </si>
  <si>
    <t>1104-0310</t>
  </si>
  <si>
    <t>1103-0101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</si>
</sst>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5" fontId="0" fillId="0" borderId="0" xfId="0" applyNumberFormat="1"/>
  </cellXfs>
  <cellStyles count="2">
    <cellStyle name="Normal" xfId="0" builtinId="0"/>
    <cellStyle name="Normal 2" xfId="1" xr:uid="{EEB97AC5-66EB-4F1A-82BA-36DA7726E7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an\Downloads\LK%20Ascend\LK%20Ascend%202025%2001%20Des%202025.xlsx" TargetMode="External"/><Relationship Id="rId1" Type="http://schemas.openxmlformats.org/officeDocument/2006/relationships/externalLinkPath" Target="/Users/finan/Downloads/LK%20Ascend/LK%20Ascend%202025%2001%20De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A"/>
      <sheetName val="GL"/>
      <sheetName val="Database"/>
      <sheetName val="TB_WP_08_25 TAS"/>
      <sheetName val="NERACA"/>
      <sheetName val="LABA RUGI "/>
      <sheetName val="AYO Sales"/>
      <sheetName val="Rekon Sales"/>
      <sheetName val="Detail Construction"/>
      <sheetName val="BCA 3998"/>
      <sheetName val="Rev Membership"/>
      <sheetName val="AP Trade Creditor"/>
      <sheetName val="Vendor Material"/>
      <sheetName val="Vendor Construction"/>
      <sheetName val="Prepaid Construction"/>
      <sheetName val="CIP"/>
      <sheetName val="AP Employee"/>
      <sheetName val="Shareholder Loan"/>
      <sheetName val="Seharusnya"/>
      <sheetName val="Pencatatan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Trial Balance</v>
          </cell>
        </row>
        <row r="3">
          <cell r="A3" t="str">
            <v>PT SEHAT BUGAR UTAMA</v>
          </cell>
        </row>
        <row r="4">
          <cell r="A4" t="str">
            <v xml:space="preserve">Period of November 2025 </v>
          </cell>
        </row>
        <row r="6">
          <cell r="B6" t="str">
            <v>Assets</v>
          </cell>
        </row>
        <row r="7">
          <cell r="B7" t="str">
            <v>Liabilities</v>
          </cell>
        </row>
        <row r="8">
          <cell r="B8" t="str">
            <v>Capital</v>
          </cell>
        </row>
        <row r="9">
          <cell r="B9" t="str">
            <v>Should be Zero</v>
          </cell>
        </row>
        <row r="11">
          <cell r="A11" t="str">
            <v>A/C</v>
          </cell>
          <cell r="B11" t="str">
            <v>DESCRIPTION</v>
          </cell>
        </row>
        <row r="14">
          <cell r="A14" t="str">
            <v>1000-0000</v>
          </cell>
          <cell r="B14" t="str">
            <v>ASSET</v>
          </cell>
        </row>
        <row r="15">
          <cell r="A15" t="str">
            <v>1100-0000</v>
          </cell>
          <cell r="B15" t="str">
            <v>CURRENT ASSET</v>
          </cell>
        </row>
        <row r="16">
          <cell r="A16" t="str">
            <v>1101-0000</v>
          </cell>
          <cell r="B16" t="str">
            <v>CASH &amp; BANK</v>
          </cell>
        </row>
        <row r="17">
          <cell r="A17" t="str">
            <v>1101-0100</v>
          </cell>
          <cell r="B17" t="str">
            <v>CASH</v>
          </cell>
        </row>
        <row r="18">
          <cell r="A18" t="str">
            <v>1101-0101</v>
          </cell>
          <cell r="B18" t="str">
            <v>Petty Cash - Office</v>
          </cell>
        </row>
        <row r="19">
          <cell r="A19" t="str">
            <v>1101-0102</v>
          </cell>
          <cell r="B19" t="str">
            <v>Petty Cash - Cashier</v>
          </cell>
        </row>
        <row r="20">
          <cell r="A20" t="str">
            <v>1101-0103</v>
          </cell>
          <cell r="B20" t="str">
            <v>House Bank Cashier</v>
          </cell>
        </row>
        <row r="21">
          <cell r="A21" t="str">
            <v>1101-0111</v>
          </cell>
          <cell r="B21" t="str">
            <v>N/A</v>
          </cell>
        </row>
        <row r="22">
          <cell r="A22" t="str">
            <v>1101-0112</v>
          </cell>
          <cell r="B22" t="str">
            <v>N/A</v>
          </cell>
        </row>
        <row r="23">
          <cell r="A23" t="str">
            <v>1101-0113</v>
          </cell>
          <cell r="B23" t="str">
            <v>N/A</v>
          </cell>
        </row>
        <row r="24">
          <cell r="A24" t="str">
            <v>1101-0114</v>
          </cell>
          <cell r="B24" t="str">
            <v>N/A</v>
          </cell>
        </row>
        <row r="25">
          <cell r="A25" t="str">
            <v>1101-0200</v>
          </cell>
          <cell r="B25" t="str">
            <v>BANK</v>
          </cell>
        </row>
        <row r="26">
          <cell r="A26" t="str">
            <v>1101-0201</v>
          </cell>
          <cell r="B26" t="str">
            <v>Bank BCA 7340333998</v>
          </cell>
        </row>
        <row r="27">
          <cell r="A27" t="str">
            <v>1101-0202</v>
          </cell>
          <cell r="B27" t="str">
            <v>Bank Index 9001033366</v>
          </cell>
        </row>
        <row r="28">
          <cell r="A28" t="str">
            <v>1101-0203</v>
          </cell>
          <cell r="B28" t="str">
            <v>N/A</v>
          </cell>
        </row>
        <row r="29">
          <cell r="A29" t="str">
            <v>1101-0204</v>
          </cell>
          <cell r="B29" t="str">
            <v>N/A</v>
          </cell>
        </row>
        <row r="30">
          <cell r="A30" t="str">
            <v>1101-0205</v>
          </cell>
          <cell r="B30" t="str">
            <v>N/A</v>
          </cell>
        </row>
        <row r="31">
          <cell r="A31" t="str">
            <v>1101-0300</v>
          </cell>
          <cell r="B31" t="str">
            <v>CASH CLEARING</v>
          </cell>
        </row>
        <row r="32">
          <cell r="A32" t="str">
            <v>1101-0301</v>
          </cell>
          <cell r="B32" t="str">
            <v>Clearing Account Cash Sales</v>
          </cell>
        </row>
        <row r="33">
          <cell r="A33" t="str">
            <v>1101-0302</v>
          </cell>
          <cell r="B33" t="str">
            <v>Deposit in Transit</v>
          </cell>
        </row>
        <row r="34">
          <cell r="A34" t="str">
            <v>1103-0000</v>
          </cell>
          <cell r="B34" t="str">
            <v>ACCOUNT RECEIVABLE</v>
          </cell>
        </row>
        <row r="35">
          <cell r="A35" t="str">
            <v>1103-0100</v>
          </cell>
          <cell r="B35" t="str">
            <v>ACCOUNT RECEIVABLE</v>
          </cell>
        </row>
        <row r="36">
          <cell r="A36" t="str">
            <v>1103-0101</v>
          </cell>
          <cell r="B36" t="str">
            <v>A/R Customer</v>
          </cell>
        </row>
        <row r="37">
          <cell r="A37" t="str">
            <v>1103-0102</v>
          </cell>
          <cell r="B37" t="str">
            <v>A/R Credit Card</v>
          </cell>
        </row>
        <row r="38">
          <cell r="A38" t="str">
            <v>1103-0103</v>
          </cell>
          <cell r="B38" t="str">
            <v>A/R Company</v>
          </cell>
        </row>
        <row r="39">
          <cell r="A39" t="str">
            <v>1103-0104</v>
          </cell>
          <cell r="B39" t="str">
            <v>A/R Credit Card in Transit</v>
          </cell>
        </row>
        <row r="40">
          <cell r="A40" t="str">
            <v>1103-0105</v>
          </cell>
          <cell r="B40" t="str">
            <v>A/R Employee</v>
          </cell>
        </row>
        <row r="41">
          <cell r="A41" t="str">
            <v>1103-0106</v>
          </cell>
          <cell r="B41" t="str">
            <v>A/R AYO in Transit</v>
          </cell>
        </row>
        <row r="42">
          <cell r="A42" t="str">
            <v>1103-0110</v>
          </cell>
          <cell r="B42" t="str">
            <v>A/R Customer Other</v>
          </cell>
        </row>
        <row r="43">
          <cell r="A43" t="str">
            <v>1103-0200</v>
          </cell>
          <cell r="B43" t="str">
            <v>OTHERS AR</v>
          </cell>
        </row>
        <row r="44">
          <cell r="A44" t="str">
            <v>1103-0201</v>
          </cell>
          <cell r="B44" t="str">
            <v>Employee Ledger</v>
          </cell>
        </row>
        <row r="45">
          <cell r="A45" t="str">
            <v>1103-0202</v>
          </cell>
          <cell r="B45" t="str">
            <v>Others Receivable</v>
          </cell>
        </row>
        <row r="46">
          <cell r="A46" t="str">
            <v>1103-0203</v>
          </cell>
          <cell r="B46" t="str">
            <v>Interest Receivable</v>
          </cell>
        </row>
        <row r="47">
          <cell r="A47" t="str">
            <v>1104-0000</v>
          </cell>
          <cell r="B47" t="str">
            <v>INVENTORY</v>
          </cell>
        </row>
        <row r="48">
          <cell r="A48" t="str">
            <v>1104-0100</v>
          </cell>
          <cell r="B48" t="str">
            <v>INVENTORIES</v>
          </cell>
        </row>
        <row r="49">
          <cell r="A49" t="str">
            <v>1104-0101</v>
          </cell>
          <cell r="B49" t="str">
            <v>Inventory Paddle</v>
          </cell>
        </row>
        <row r="50">
          <cell r="A50" t="str">
            <v>1104-0102</v>
          </cell>
          <cell r="B50" t="str">
            <v>Inventory Gym</v>
          </cell>
        </row>
        <row r="51">
          <cell r="A51" t="str">
            <v>1104-0200</v>
          </cell>
          <cell r="B51" t="str">
            <v>Inventory Pilates</v>
          </cell>
        </row>
        <row r="52">
          <cell r="A52" t="str">
            <v>1104-0201</v>
          </cell>
          <cell r="B52" t="str">
            <v>Inventory Maintenance</v>
          </cell>
        </row>
        <row r="53">
          <cell r="A53" t="str">
            <v>1104-0300</v>
          </cell>
          <cell r="B53" t="str">
            <v>Inventory Electrical</v>
          </cell>
        </row>
        <row r="54">
          <cell r="A54" t="str">
            <v>1104-0310</v>
          </cell>
          <cell r="B54" t="str">
            <v xml:space="preserve">Inventory Merchandise </v>
          </cell>
        </row>
        <row r="55">
          <cell r="A55" t="str">
            <v>1104-0501</v>
          </cell>
          <cell r="B55" t="str">
            <v>N/A</v>
          </cell>
        </row>
        <row r="56">
          <cell r="A56" t="str">
            <v>1104-0502</v>
          </cell>
          <cell r="B56" t="str">
            <v>N/A</v>
          </cell>
        </row>
        <row r="57">
          <cell r="A57" t="str">
            <v>1104-0503</v>
          </cell>
          <cell r="B57" t="str">
            <v>N/A</v>
          </cell>
        </row>
        <row r="58">
          <cell r="A58" t="str">
            <v>1104-0504</v>
          </cell>
          <cell r="B58" t="str">
            <v>N/A</v>
          </cell>
        </row>
        <row r="59">
          <cell r="A59" t="str">
            <v>1105-0000</v>
          </cell>
          <cell r="B59" t="str">
            <v>ADVANCE PAYMENT</v>
          </cell>
        </row>
        <row r="60">
          <cell r="A60" t="str">
            <v>1105-0010</v>
          </cell>
          <cell r="B60" t="str">
            <v>Advance Supplier</v>
          </cell>
        </row>
        <row r="61">
          <cell r="A61" t="str">
            <v>1105-0020</v>
          </cell>
          <cell r="B61" t="str">
            <v>Advance Departemental</v>
          </cell>
        </row>
        <row r="62">
          <cell r="A62" t="str">
            <v>1105-0030</v>
          </cell>
          <cell r="B62" t="str">
            <v>Advance Project</v>
          </cell>
        </row>
        <row r="63">
          <cell r="A63" t="str">
            <v>1105-0100</v>
          </cell>
          <cell r="B63" t="str">
            <v>PREPAID EXPENSES</v>
          </cell>
        </row>
        <row r="64">
          <cell r="A64" t="str">
            <v>1105-0101</v>
          </cell>
          <cell r="B64" t="str">
            <v>Prepaid Private Helth Insurance</v>
          </cell>
        </row>
        <row r="65">
          <cell r="A65" t="str">
            <v>1105-0102</v>
          </cell>
          <cell r="B65" t="str">
            <v>Prepaid Maintenance</v>
          </cell>
        </row>
        <row r="66">
          <cell r="A66" t="str">
            <v>1105-0103</v>
          </cell>
          <cell r="B66" t="str">
            <v>Prepaid Insurance</v>
          </cell>
        </row>
        <row r="67">
          <cell r="A67" t="str">
            <v>1105-0104</v>
          </cell>
          <cell r="B67" t="str">
            <v>Prepaid Construction</v>
          </cell>
        </row>
        <row r="68">
          <cell r="A68" t="str">
            <v>1105-0105</v>
          </cell>
          <cell r="B68" t="str">
            <v>Prepaid Other</v>
          </cell>
        </row>
        <row r="69">
          <cell r="A69" t="str">
            <v>1105-0106</v>
          </cell>
          <cell r="B69" t="str">
            <v>Prepaid Advertisement Tax</v>
          </cell>
        </row>
        <row r="70">
          <cell r="A70" t="str">
            <v>1105-0107</v>
          </cell>
          <cell r="B70" t="str">
            <v>Prepaid Rent Warehouse</v>
          </cell>
        </row>
        <row r="71">
          <cell r="A71" t="str">
            <v>1105-0108</v>
          </cell>
          <cell r="B71" t="str">
            <v>Prepaid Rent Office Lt1</v>
          </cell>
        </row>
        <row r="72">
          <cell r="A72" t="str">
            <v>1105-0109</v>
          </cell>
          <cell r="B72" t="str">
            <v>Prepaid Rent Office Lt2</v>
          </cell>
        </row>
        <row r="73">
          <cell r="A73" t="str">
            <v>1105-0110</v>
          </cell>
          <cell r="B73" t="str">
            <v>Prepaid Rent Office Lt3</v>
          </cell>
        </row>
        <row r="74">
          <cell r="A74" t="str">
            <v>1105-0111</v>
          </cell>
          <cell r="B74" t="str">
            <v>Prepaid Rental P6 - Dry</v>
          </cell>
        </row>
        <row r="75">
          <cell r="A75" t="str">
            <v>1105-0112</v>
          </cell>
          <cell r="B75" t="str">
            <v>Prepaid Rental P6 - Cold Room</v>
          </cell>
        </row>
        <row r="76">
          <cell r="A76" t="str">
            <v>1105-0113</v>
          </cell>
          <cell r="B76" t="str">
            <v>Prepaid Utility</v>
          </cell>
        </row>
        <row r="77">
          <cell r="A77" t="str">
            <v>1105-0114</v>
          </cell>
          <cell r="B77" t="str">
            <v>Prepaid Service Charge Lt1</v>
          </cell>
        </row>
        <row r="78">
          <cell r="A78" t="str">
            <v>1105-0115</v>
          </cell>
          <cell r="B78" t="str">
            <v>Prepaid Service Charge Lt2</v>
          </cell>
        </row>
        <row r="79">
          <cell r="A79" t="str">
            <v>1105-0116</v>
          </cell>
          <cell r="B79" t="str">
            <v>Prepaid Service Charge Lt3</v>
          </cell>
        </row>
        <row r="80">
          <cell r="A80" t="str">
            <v>1105-0117</v>
          </cell>
          <cell r="B80" t="str">
            <v>Prepaid Service Charge P6 - Dry</v>
          </cell>
        </row>
        <row r="81">
          <cell r="A81" t="str">
            <v>1105-0118</v>
          </cell>
          <cell r="B81" t="str">
            <v>Prepaid Service Charge P6 - Cold Room</v>
          </cell>
        </row>
        <row r="82">
          <cell r="A82" t="str">
            <v>1105-0119</v>
          </cell>
          <cell r="B82" t="str">
            <v>Prepaid Franchise Fee</v>
          </cell>
        </row>
        <row r="83">
          <cell r="A83" t="str">
            <v>1105-0120</v>
          </cell>
          <cell r="B83" t="str">
            <v>Prepaid Music</v>
          </cell>
        </row>
        <row r="84">
          <cell r="A84" t="str">
            <v>1105-0121</v>
          </cell>
          <cell r="B84" t="str">
            <v>Prepaid Whats App Bussiness</v>
          </cell>
        </row>
        <row r="85">
          <cell r="A85" t="str">
            <v>1105-0122</v>
          </cell>
          <cell r="B85" t="str">
            <v>Prepaid Parkir</v>
          </cell>
        </row>
        <row r="86">
          <cell r="A86" t="str">
            <v>1105-0123</v>
          </cell>
          <cell r="B86" t="str">
            <v>Prepaid Rent Appartment</v>
          </cell>
        </row>
        <row r="87">
          <cell r="A87" t="str">
            <v>1105-0200</v>
          </cell>
          <cell r="B87" t="str">
            <v>PPN MASUKAN</v>
          </cell>
        </row>
        <row r="88">
          <cell r="A88" t="str">
            <v>1105-0201</v>
          </cell>
          <cell r="B88" t="str">
            <v>PPN Masukan</v>
          </cell>
        </row>
        <row r="89">
          <cell r="A89" t="str">
            <v>1105-0202</v>
          </cell>
          <cell r="B89" t="str">
            <v>Prepaid Tax - Psl 25</v>
          </cell>
        </row>
        <row r="90">
          <cell r="A90" t="str">
            <v>1105-0300</v>
          </cell>
          <cell r="B90" t="str">
            <v>DEPOSIT</v>
          </cell>
        </row>
        <row r="91">
          <cell r="A91" t="str">
            <v>1105-0301</v>
          </cell>
          <cell r="B91" t="str">
            <v>Security Deposit-Lt1</v>
          </cell>
        </row>
        <row r="92">
          <cell r="A92" t="str">
            <v>1105-0302</v>
          </cell>
          <cell r="B92" t="str">
            <v>Security Deposit-Lt2</v>
          </cell>
        </row>
        <row r="93">
          <cell r="A93" t="str">
            <v>1105-0303</v>
          </cell>
          <cell r="B93" t="str">
            <v>Security Deposit-Lt3</v>
          </cell>
        </row>
        <row r="94">
          <cell r="A94" t="str">
            <v>1105-0304</v>
          </cell>
          <cell r="B94" t="str">
            <v>Security Deposit-Dry Storage</v>
          </cell>
        </row>
        <row r="95">
          <cell r="A95" t="str">
            <v>1105-0305</v>
          </cell>
          <cell r="B95" t="str">
            <v>Security Deposit-Cool Storage</v>
          </cell>
        </row>
        <row r="96">
          <cell r="A96" t="str">
            <v>1105-0306</v>
          </cell>
          <cell r="B96" t="str">
            <v xml:space="preserve">Security Deposit-Apartment </v>
          </cell>
        </row>
        <row r="97">
          <cell r="A97" t="str">
            <v>1105-0500</v>
          </cell>
          <cell r="B97" t="str">
            <v>INTRA GROUP ACCOUNT</v>
          </cell>
        </row>
        <row r="98">
          <cell r="A98" t="str">
            <v>1105-0501</v>
          </cell>
          <cell r="B98" t="str">
            <v xml:space="preserve">Intra Group </v>
          </cell>
        </row>
        <row r="99">
          <cell r="A99" t="str">
            <v>1105-0502</v>
          </cell>
          <cell r="B99" t="str">
            <v>Intra Group</v>
          </cell>
        </row>
        <row r="100">
          <cell r="A100" t="str">
            <v>1105-0503</v>
          </cell>
          <cell r="B100" t="str">
            <v>Intra Group</v>
          </cell>
        </row>
        <row r="101">
          <cell r="A101" t="str">
            <v>1200-0000</v>
          </cell>
          <cell r="B101" t="str">
            <v>INVESTMENT</v>
          </cell>
        </row>
        <row r="102">
          <cell r="A102" t="str">
            <v>1201-0000</v>
          </cell>
          <cell r="B102" t="str">
            <v>INVESTMENT</v>
          </cell>
        </row>
        <row r="103">
          <cell r="A103" t="str">
            <v>1201-0100</v>
          </cell>
          <cell r="B103" t="str">
            <v>Subsudiaries Invesment</v>
          </cell>
        </row>
        <row r="104">
          <cell r="A104" t="str">
            <v>1201-0200</v>
          </cell>
          <cell r="B104" t="str">
            <v>Associates Invesment</v>
          </cell>
        </row>
        <row r="105">
          <cell r="A105" t="str">
            <v>1300-0000</v>
          </cell>
          <cell r="B105" t="str">
            <v>FIXED ASSET</v>
          </cell>
        </row>
        <row r="106">
          <cell r="A106" t="str">
            <v>1302-0000</v>
          </cell>
          <cell r="B106" t="str">
            <v>Leasehold Improvement</v>
          </cell>
        </row>
        <row r="107">
          <cell r="A107" t="str">
            <v>1302-9900</v>
          </cell>
          <cell r="B107" t="str">
            <v>Acc Dep Leasehold Improvement</v>
          </cell>
        </row>
        <row r="108">
          <cell r="A108" t="str">
            <v>1303-0000</v>
          </cell>
          <cell r="B108" t="str">
            <v>Furniture , Fixture &amp; Equipment</v>
          </cell>
        </row>
        <row r="109">
          <cell r="A109" t="str">
            <v>1303-9900</v>
          </cell>
          <cell r="B109" t="str">
            <v>Acc Dep Furniture &amp; Fixture</v>
          </cell>
        </row>
        <row r="110">
          <cell r="A110" t="str">
            <v>1304-0000</v>
          </cell>
          <cell r="B110" t="str">
            <v>Tools &amp; Equipment</v>
          </cell>
        </row>
        <row r="111">
          <cell r="A111" t="str">
            <v>1304-9900</v>
          </cell>
          <cell r="B111" t="str">
            <v>Acc Dep Tools &amp; Equipment</v>
          </cell>
        </row>
        <row r="112">
          <cell r="A112" t="str">
            <v>1305-0000</v>
          </cell>
          <cell r="B112" t="str">
            <v>Motor Vehicle</v>
          </cell>
        </row>
        <row r="113">
          <cell r="A113" t="str">
            <v>1305-9900</v>
          </cell>
          <cell r="B113" t="str">
            <v>Acc Dep Motor Vehicle</v>
          </cell>
        </row>
        <row r="114">
          <cell r="A114" t="str">
            <v>1306-0000</v>
          </cell>
          <cell r="B114" t="str">
            <v>Computer Hardware &amp; Software</v>
          </cell>
        </row>
        <row r="115">
          <cell r="A115" t="str">
            <v>1306-9900</v>
          </cell>
          <cell r="B115" t="str">
            <v>Acc Dep Computer Hardware</v>
          </cell>
        </row>
        <row r="116">
          <cell r="A116" t="str">
            <v>1308-0000</v>
          </cell>
          <cell r="B116" t="str">
            <v>N/A</v>
          </cell>
        </row>
        <row r="117">
          <cell r="A117" t="str">
            <v>1308-9900</v>
          </cell>
          <cell r="B117" t="str">
            <v>N/A</v>
          </cell>
        </row>
        <row r="118">
          <cell r="A118" t="str">
            <v>1310-0000</v>
          </cell>
          <cell r="B118" t="str">
            <v>N/A</v>
          </cell>
        </row>
        <row r="119">
          <cell r="A119" t="str">
            <v>1310-9900</v>
          </cell>
          <cell r="B119" t="str">
            <v>N/A</v>
          </cell>
        </row>
        <row r="120">
          <cell r="A120" t="str">
            <v>1311-0000</v>
          </cell>
          <cell r="B120" t="str">
            <v>N/A</v>
          </cell>
        </row>
        <row r="121">
          <cell r="A121" t="str">
            <v>1311-9900</v>
          </cell>
          <cell r="B121" t="str">
            <v>N/A</v>
          </cell>
        </row>
        <row r="122">
          <cell r="A122" t="str">
            <v>1312-0000</v>
          </cell>
          <cell r="B122" t="str">
            <v>N/A</v>
          </cell>
        </row>
        <row r="123">
          <cell r="A123" t="str">
            <v>1312-9900</v>
          </cell>
          <cell r="B123" t="str">
            <v>N/A</v>
          </cell>
        </row>
        <row r="124">
          <cell r="A124" t="str">
            <v>1313-0000</v>
          </cell>
          <cell r="B124" t="str">
            <v>Decorations</v>
          </cell>
        </row>
        <row r="125">
          <cell r="A125" t="str">
            <v>1313-9900</v>
          </cell>
          <cell r="B125" t="str">
            <v>Acc Dep Decorations</v>
          </cell>
        </row>
        <row r="126">
          <cell r="A126" t="str">
            <v>1314-0000</v>
          </cell>
          <cell r="B126" t="str">
            <v>Right of Use Assets (ROU)</v>
          </cell>
        </row>
        <row r="127">
          <cell r="A127" t="str">
            <v>1314-9900</v>
          </cell>
          <cell r="B127" t="str">
            <v>Acc Amort Right of Use Assets</v>
          </cell>
        </row>
        <row r="128">
          <cell r="A128" t="str">
            <v>1401-0000</v>
          </cell>
          <cell r="B128" t="str">
            <v>INTANGIBLE ASSETS</v>
          </cell>
        </row>
        <row r="129">
          <cell r="A129" t="str">
            <v>1401-0000</v>
          </cell>
          <cell r="B129" t="str">
            <v>Good Will</v>
          </cell>
        </row>
        <row r="130">
          <cell r="A130" t="str">
            <v>1401-0100</v>
          </cell>
          <cell r="B130" t="str">
            <v>Good Will</v>
          </cell>
        </row>
        <row r="131">
          <cell r="A131" t="str">
            <v>1401-9900</v>
          </cell>
          <cell r="B131" t="str">
            <v>Good Will Amortization</v>
          </cell>
        </row>
        <row r="132">
          <cell r="A132" t="str">
            <v>1402-0000</v>
          </cell>
          <cell r="B132" t="str">
            <v>License</v>
          </cell>
        </row>
        <row r="133">
          <cell r="A133" t="str">
            <v>1402-0100</v>
          </cell>
          <cell r="B133" t="str">
            <v>Franchise Fee</v>
          </cell>
        </row>
        <row r="134">
          <cell r="A134" t="str">
            <v>1402-9900</v>
          </cell>
          <cell r="B134" t="str">
            <v>Franchise Fee Amort</v>
          </cell>
        </row>
        <row r="135">
          <cell r="A135" t="str">
            <v>1501-0000</v>
          </cell>
          <cell r="B135" t="str">
            <v>OTHER ASSETS</v>
          </cell>
        </row>
        <row r="136">
          <cell r="A136" t="str">
            <v>1501-0100</v>
          </cell>
          <cell r="B136" t="str">
            <v>Preopening Expenses</v>
          </cell>
        </row>
        <row r="137">
          <cell r="A137" t="str">
            <v>1501-9900</v>
          </cell>
          <cell r="B137" t="str">
            <v>Other Assets</v>
          </cell>
        </row>
        <row r="138">
          <cell r="A138" t="str">
            <v>1320-0000</v>
          </cell>
          <cell r="B138" t="str">
            <v>OUTLET IN PROGRESS</v>
          </cell>
        </row>
        <row r="139">
          <cell r="A139" t="str">
            <v>1320-0001</v>
          </cell>
          <cell r="B139" t="str">
            <v>Outlet in Progress-Ascend Group</v>
          </cell>
        </row>
        <row r="140">
          <cell r="A140" t="str">
            <v>1320-0002</v>
          </cell>
          <cell r="B140" t="str">
            <v>Outlet in Progress.</v>
          </cell>
        </row>
        <row r="141">
          <cell r="A141" t="str">
            <v>1320-0003</v>
          </cell>
          <cell r="B141" t="str">
            <v>Outlet in Progress.</v>
          </cell>
        </row>
        <row r="142">
          <cell r="A142" t="str">
            <v>1320-0004</v>
          </cell>
          <cell r="B142" t="str">
            <v>Outlet in Progress.</v>
          </cell>
        </row>
        <row r="143">
          <cell r="A143" t="str">
            <v>1600-0000</v>
          </cell>
          <cell r="B143" t="str">
            <v>DEFFERED ASSETS</v>
          </cell>
        </row>
        <row r="144">
          <cell r="A144" t="str">
            <v>1600-0001</v>
          </cell>
          <cell r="B144" t="str">
            <v>Deffered Tax Assets</v>
          </cell>
        </row>
        <row r="145">
          <cell r="A145" t="str">
            <v>2000-0000</v>
          </cell>
          <cell r="B145" t="str">
            <v>LIABILITIES</v>
          </cell>
        </row>
        <row r="146">
          <cell r="A146" t="str">
            <v>2100-0000</v>
          </cell>
          <cell r="B146" t="str">
            <v>CURRENT LIABILITIES</v>
          </cell>
        </row>
        <row r="147">
          <cell r="A147" t="str">
            <v>2102-0000</v>
          </cell>
          <cell r="B147" t="str">
            <v>TRADE CREDITOR</v>
          </cell>
        </row>
        <row r="148">
          <cell r="A148" t="str">
            <v>2102-0100</v>
          </cell>
          <cell r="B148" t="str">
            <v>A/P Trade Creditor</v>
          </cell>
        </row>
        <row r="149">
          <cell r="A149" t="str">
            <v>2102-0200</v>
          </cell>
          <cell r="B149" t="str">
            <v>A/P Clearance</v>
          </cell>
        </row>
        <row r="150">
          <cell r="A150" t="str">
            <v>2102-0300</v>
          </cell>
          <cell r="B150" t="str">
            <v>A/P Project</v>
          </cell>
        </row>
        <row r="151">
          <cell r="A151" t="str">
            <v>2102-0400</v>
          </cell>
          <cell r="B151" t="str">
            <v>A/P Employee</v>
          </cell>
        </row>
        <row r="152">
          <cell r="A152" t="str">
            <v>2102-0999</v>
          </cell>
          <cell r="B152" t="str">
            <v>Others Trade</v>
          </cell>
        </row>
        <row r="153">
          <cell r="A153" t="str">
            <v>2103-0300</v>
          </cell>
          <cell r="B153" t="str">
            <v>DEPOSIT</v>
          </cell>
        </row>
        <row r="154">
          <cell r="A154" t="str">
            <v>2103-0300</v>
          </cell>
          <cell r="B154" t="str">
            <v>Member Deposit - Paddle</v>
          </cell>
        </row>
        <row r="155">
          <cell r="A155" t="str">
            <v>2103-0301</v>
          </cell>
          <cell r="B155" t="str">
            <v>Member Deposit - 1 Month Paddle</v>
          </cell>
        </row>
        <row r="156">
          <cell r="A156" t="str">
            <v>2103-0302</v>
          </cell>
          <cell r="B156" t="str">
            <v>Member Deposit - 3 Month Paddle</v>
          </cell>
        </row>
        <row r="157">
          <cell r="A157" t="str">
            <v>2103-0303</v>
          </cell>
          <cell r="B157" t="str">
            <v>Member Deposit - 6 Month Paddle</v>
          </cell>
        </row>
        <row r="158">
          <cell r="A158" t="str">
            <v>2103-0304</v>
          </cell>
          <cell r="B158" t="str">
            <v>Member Deposit - 1 Year Paddle</v>
          </cell>
        </row>
        <row r="159">
          <cell r="A159" t="str">
            <v>2103-0310</v>
          </cell>
          <cell r="B159" t="str">
            <v xml:space="preserve">Member Deposit - Gym </v>
          </cell>
        </row>
        <row r="160">
          <cell r="A160" t="str">
            <v>2103-0311</v>
          </cell>
          <cell r="B160" t="str">
            <v>Member Deposit - 1 Month Gym</v>
          </cell>
        </row>
        <row r="161">
          <cell r="A161" t="str">
            <v>2103-0312</v>
          </cell>
          <cell r="B161" t="str">
            <v>Member Deposit - 3 Month Gym</v>
          </cell>
        </row>
        <row r="162">
          <cell r="A162" t="str">
            <v>2103-0313</v>
          </cell>
          <cell r="B162" t="str">
            <v>Member Deposit - 6 Month Gym</v>
          </cell>
        </row>
        <row r="163">
          <cell r="A163" t="str">
            <v>2103-0314</v>
          </cell>
          <cell r="B163" t="str">
            <v>Member Deposit - 1 Year Gym</v>
          </cell>
        </row>
        <row r="164">
          <cell r="A164" t="str">
            <v>2103-0320</v>
          </cell>
          <cell r="B164" t="str">
            <v>Member Deposit - Pilates</v>
          </cell>
        </row>
        <row r="165">
          <cell r="A165" t="str">
            <v>2103-0321</v>
          </cell>
          <cell r="B165" t="str">
            <v>Member Deposit - 1 Month Pilates</v>
          </cell>
        </row>
        <row r="166">
          <cell r="A166" t="str">
            <v>2103-0322</v>
          </cell>
          <cell r="B166" t="str">
            <v>Member Deposit - 3 Month Pilates</v>
          </cell>
        </row>
        <row r="167">
          <cell r="A167" t="str">
            <v>2103-0323</v>
          </cell>
          <cell r="B167" t="str">
            <v>Member Deposit - 6 Month Pilates</v>
          </cell>
        </row>
        <row r="168">
          <cell r="A168" t="str">
            <v>2103-0324</v>
          </cell>
          <cell r="B168" t="str">
            <v>Member Deposit - 1 Year Pilates</v>
          </cell>
        </row>
        <row r="169">
          <cell r="A169" t="str">
            <v>2103-0330</v>
          </cell>
          <cell r="B169" t="str">
            <v>A/P Security Deposit</v>
          </cell>
        </row>
        <row r="170">
          <cell r="A170" t="str">
            <v>2103-0332</v>
          </cell>
          <cell r="B170" t="str">
            <v>A/P Tenant Deposit</v>
          </cell>
        </row>
        <row r="171">
          <cell r="A171" t="str">
            <v>2103-0335</v>
          </cell>
          <cell r="B171" t="str">
            <v>Others Advance Deposit</v>
          </cell>
        </row>
        <row r="172">
          <cell r="A172" t="str">
            <v>2106-0000</v>
          </cell>
          <cell r="B172" t="str">
            <v>TAXES PAYABLE</v>
          </cell>
        </row>
        <row r="173">
          <cell r="A173" t="str">
            <v>2106-0100</v>
          </cell>
          <cell r="B173" t="str">
            <v>A/P Pajak Hotel &amp; Restaurant</v>
          </cell>
        </row>
        <row r="174">
          <cell r="A174" t="str">
            <v>2106-0200</v>
          </cell>
          <cell r="B174" t="str">
            <v>A/P PPN Keluaran</v>
          </cell>
        </row>
        <row r="175">
          <cell r="A175" t="str">
            <v>2106-0300</v>
          </cell>
          <cell r="B175" t="str">
            <v>A/P PPh Psl 21</v>
          </cell>
        </row>
        <row r="176">
          <cell r="A176" t="str">
            <v>2106-0400</v>
          </cell>
          <cell r="B176" t="str">
            <v>A/P PPh Psl 26</v>
          </cell>
        </row>
        <row r="177">
          <cell r="A177" t="str">
            <v>2106-0500</v>
          </cell>
          <cell r="B177" t="str">
            <v>A/P PPh Psl 25/29</v>
          </cell>
        </row>
        <row r="178">
          <cell r="A178" t="str">
            <v>2106-0600</v>
          </cell>
          <cell r="B178" t="str">
            <v>A/P PPh Psl 4 Ayat 2</v>
          </cell>
        </row>
        <row r="179">
          <cell r="A179" t="str">
            <v>2106-0700</v>
          </cell>
          <cell r="B179" t="str">
            <v xml:space="preserve">A/P PPH 23 </v>
          </cell>
        </row>
        <row r="180">
          <cell r="A180" t="str">
            <v>2106-0800</v>
          </cell>
          <cell r="B180" t="str">
            <v>PB 1 Payable</v>
          </cell>
        </row>
        <row r="181">
          <cell r="A181" t="str">
            <v>2106-0900</v>
          </cell>
          <cell r="B181" t="str">
            <v>Pajak Bumi &amp; Bangunan</v>
          </cell>
        </row>
        <row r="182">
          <cell r="A182" t="str">
            <v>2107-0000</v>
          </cell>
          <cell r="B182" t="str">
            <v>SALARY &amp; SC PAYABLE</v>
          </cell>
        </row>
        <row r="183">
          <cell r="A183" t="str">
            <v>2107-0100</v>
          </cell>
          <cell r="B183" t="str">
            <v>Salary Payable</v>
          </cell>
        </row>
        <row r="184">
          <cell r="A184" t="str">
            <v>2107-0101</v>
          </cell>
          <cell r="B184" t="str">
            <v>Staff Allowance Payable</v>
          </cell>
        </row>
        <row r="185">
          <cell r="A185" t="str">
            <v>2107-0102</v>
          </cell>
          <cell r="B185" t="str">
            <v>Incentive Payable</v>
          </cell>
        </row>
        <row r="186">
          <cell r="A186" t="str">
            <v>2107-0103</v>
          </cell>
          <cell r="B186" t="str">
            <v>Staff Tax</v>
          </cell>
        </row>
        <row r="187">
          <cell r="A187" t="str">
            <v>2107-0200</v>
          </cell>
          <cell r="B187" t="str">
            <v>Service Charge Payable</v>
          </cell>
        </row>
        <row r="188">
          <cell r="A188" t="str">
            <v>2107-0201</v>
          </cell>
          <cell r="B188" t="str">
            <v>Service Charge -  Lost &amp; Breakage</v>
          </cell>
        </row>
        <row r="189">
          <cell r="A189" t="str">
            <v>2107-0202</v>
          </cell>
          <cell r="B189" t="str">
            <v>Service Charge - Social &amp; Activity</v>
          </cell>
        </row>
        <row r="190">
          <cell r="A190" t="str">
            <v>2107-0203</v>
          </cell>
          <cell r="B190" t="str">
            <v>Service Charge - Distribution</v>
          </cell>
        </row>
        <row r="191">
          <cell r="A191" t="str">
            <v>2108-0000</v>
          </cell>
          <cell r="B191" t="str">
            <v>ACCRUAL &amp; PROVISION EXPENSES</v>
          </cell>
        </row>
        <row r="192">
          <cell r="A192" t="str">
            <v>2108-0110</v>
          </cell>
          <cell r="B192" t="str">
            <v>Accr Utility</v>
          </cell>
        </row>
        <row r="193">
          <cell r="A193" t="str">
            <v>2108-0111</v>
          </cell>
          <cell r="B193" t="str">
            <v>Accr Internet</v>
          </cell>
        </row>
        <row r="194">
          <cell r="A194" t="str">
            <v>2108-0112</v>
          </cell>
          <cell r="B194" t="str">
            <v>Accr Marketing Expenses</v>
          </cell>
        </row>
        <row r="195">
          <cell r="A195" t="str">
            <v>2108-0113</v>
          </cell>
          <cell r="B195" t="str">
            <v>Accr Benefit</v>
          </cell>
        </row>
        <row r="196">
          <cell r="A196" t="str">
            <v>2108-0114</v>
          </cell>
          <cell r="B196" t="str">
            <v>Accr Plantation/Gardener</v>
          </cell>
        </row>
        <row r="197">
          <cell r="A197" t="str">
            <v>2108-0115</v>
          </cell>
          <cell r="B197" t="str">
            <v>Accr Pest Control</v>
          </cell>
        </row>
        <row r="198">
          <cell r="A198" t="str">
            <v>2108-0116</v>
          </cell>
          <cell r="B198" t="str">
            <v>Accr Security</v>
          </cell>
        </row>
        <row r="199">
          <cell r="A199" t="str">
            <v>2108-0120</v>
          </cell>
          <cell r="B199" t="str">
            <v>Accr Legal &amp; Profesional Fee</v>
          </cell>
        </row>
        <row r="200">
          <cell r="A200" t="str">
            <v>2108-0130</v>
          </cell>
          <cell r="B200" t="str">
            <v>Accr Rental Equipment</v>
          </cell>
        </row>
        <row r="201">
          <cell r="A201" t="str">
            <v>2108-0140</v>
          </cell>
          <cell r="B201" t="str">
            <v>Accr IT Consultant</v>
          </cell>
        </row>
        <row r="202">
          <cell r="A202" t="str">
            <v>2108-0141</v>
          </cell>
          <cell r="B202" t="str">
            <v>Accr Royalti Fee</v>
          </cell>
        </row>
        <row r="203">
          <cell r="A203" t="str">
            <v>2108-0142</v>
          </cell>
          <cell r="B203" t="str">
            <v>Accr Management Fee</v>
          </cell>
        </row>
        <row r="204">
          <cell r="A204" t="str">
            <v>2108-0150</v>
          </cell>
          <cell r="B204" t="str">
            <v>Accr Social Security ( BPJS TK )</v>
          </cell>
        </row>
        <row r="205">
          <cell r="A205" t="str">
            <v>2108-0151</v>
          </cell>
          <cell r="B205" t="str">
            <v>Accr Medical</v>
          </cell>
        </row>
        <row r="206">
          <cell r="A206" t="str">
            <v>2108-0152</v>
          </cell>
          <cell r="B206" t="str">
            <v>Accr Post Employee Benefit</v>
          </cell>
        </row>
        <row r="207">
          <cell r="A207" t="str">
            <v>2108-0153</v>
          </cell>
          <cell r="B207" t="str">
            <v>Accr Salary</v>
          </cell>
        </row>
        <row r="208">
          <cell r="A208" t="str">
            <v>2108-0154</v>
          </cell>
          <cell r="B208" t="str">
            <v>Accr Rental Equipment &amp; Machinery</v>
          </cell>
        </row>
        <row r="209">
          <cell r="A209" t="str">
            <v>2108-0155</v>
          </cell>
          <cell r="B209" t="str">
            <v>Accr Insurance ( BPJS Kes )</v>
          </cell>
        </row>
        <row r="210">
          <cell r="A210" t="str">
            <v>2108-0156</v>
          </cell>
          <cell r="B210" t="str">
            <v>Provision -  THR/Bonus</v>
          </cell>
        </row>
        <row r="211">
          <cell r="A211" t="str">
            <v>2108-0157</v>
          </cell>
          <cell r="B211" t="str">
            <v xml:space="preserve">Provision - Audit </v>
          </cell>
        </row>
        <row r="212">
          <cell r="A212" t="str">
            <v>2108-0158</v>
          </cell>
          <cell r="B212" t="str">
            <v>Accr Marketing Social Media</v>
          </cell>
        </row>
        <row r="213">
          <cell r="A213" t="str">
            <v>2108-0159</v>
          </cell>
          <cell r="B213" t="str">
            <v>Accr Marketing Design Creative</v>
          </cell>
        </row>
        <row r="214">
          <cell r="A214" t="str">
            <v>2108-0160</v>
          </cell>
          <cell r="B214" t="str">
            <v>Accr Music and Entertainment</v>
          </cell>
        </row>
        <row r="215">
          <cell r="A215" t="str">
            <v>2108-0161</v>
          </cell>
          <cell r="B215" t="str">
            <v>Provision - Employee Allowance</v>
          </cell>
        </row>
        <row r="216">
          <cell r="A216" t="str">
            <v>2110-0000</v>
          </cell>
          <cell r="B216" t="str">
            <v>OTHER PAYABLE - Related Party</v>
          </cell>
        </row>
        <row r="217">
          <cell r="A217" t="str">
            <v>2110-0010</v>
          </cell>
          <cell r="B217" t="str">
            <v xml:space="preserve">Other Payable </v>
          </cell>
        </row>
        <row r="218">
          <cell r="A218" t="str">
            <v>2110-0020</v>
          </cell>
          <cell r="B218" t="str">
            <v xml:space="preserve">Other Payable </v>
          </cell>
        </row>
        <row r="219">
          <cell r="A219" t="str">
            <v>2200-0000</v>
          </cell>
          <cell r="B219" t="str">
            <v>LONG TERM LIABILITIES</v>
          </cell>
        </row>
        <row r="220">
          <cell r="A220" t="str">
            <v>2201-0000</v>
          </cell>
          <cell r="B220" t="str">
            <v>SHARE HOLDER LOAN and LOAN</v>
          </cell>
        </row>
        <row r="221">
          <cell r="A221" t="str">
            <v>2201-0100</v>
          </cell>
          <cell r="B221" t="str">
            <v>Share Holder Loan</v>
          </cell>
        </row>
        <row r="222">
          <cell r="A222" t="str">
            <v>2201-0110</v>
          </cell>
          <cell r="B222" t="str">
            <v xml:space="preserve">Share Holder Loan </v>
          </cell>
        </row>
        <row r="223">
          <cell r="A223" t="str">
            <v>2201-0150</v>
          </cell>
          <cell r="B223" t="str">
            <v>Short Term Loan</v>
          </cell>
        </row>
        <row r="224">
          <cell r="A224" t="str">
            <v>2201-0200</v>
          </cell>
          <cell r="B224" t="str">
            <v>Long Term Loan</v>
          </cell>
        </row>
        <row r="225">
          <cell r="A225" t="str">
            <v>2111-0000</v>
          </cell>
          <cell r="B225" t="str">
            <v>LEASE LIABILITIIES CURRENT</v>
          </cell>
        </row>
        <row r="226">
          <cell r="A226" t="str">
            <v>2111-0001</v>
          </cell>
          <cell r="B226" t="str">
            <v>Lease Liabilities Current</v>
          </cell>
        </row>
        <row r="227">
          <cell r="A227" t="str">
            <v>2112-0000</v>
          </cell>
          <cell r="B227" t="str">
            <v>LEASE LIABLITIES NON CURRENT</v>
          </cell>
        </row>
        <row r="228">
          <cell r="A228" t="str">
            <v>2112-0001</v>
          </cell>
          <cell r="B228" t="str">
            <v>Lease Liabilities Non Current</v>
          </cell>
        </row>
        <row r="229">
          <cell r="A229" t="str">
            <v>3000-0000</v>
          </cell>
          <cell r="B229" t="str">
            <v>EQUITY</v>
          </cell>
        </row>
        <row r="230">
          <cell r="A230" t="str">
            <v>3100-0000</v>
          </cell>
          <cell r="B230" t="str">
            <v>CAPITAL</v>
          </cell>
        </row>
        <row r="231">
          <cell r="A231" t="str">
            <v>3100-0001</v>
          </cell>
          <cell r="B231" t="str">
            <v>PT Indotama Cemerlang Perkasa</v>
          </cell>
        </row>
        <row r="232">
          <cell r="A232" t="str">
            <v>3100-0002</v>
          </cell>
          <cell r="B232" t="str">
            <v xml:space="preserve">PT Catur Prima Mulia </v>
          </cell>
        </row>
        <row r="233">
          <cell r="A233" t="str">
            <v>3100-0003</v>
          </cell>
          <cell r="B233" t="str">
            <v xml:space="preserve">Verosito Gunawan </v>
          </cell>
        </row>
        <row r="234">
          <cell r="A234" t="str">
            <v>3100-0004</v>
          </cell>
          <cell r="B234" t="str">
            <v>Joanne Adiwarna</v>
          </cell>
        </row>
        <row r="235">
          <cell r="A235" t="str">
            <v>3100-0005</v>
          </cell>
          <cell r="B235" t="str">
            <v xml:space="preserve">Tiza Linggajaya </v>
          </cell>
        </row>
        <row r="236">
          <cell r="A236" t="str">
            <v>3100-0006</v>
          </cell>
          <cell r="B236" t="str">
            <v>Seni Setiawan</v>
          </cell>
        </row>
        <row r="237">
          <cell r="A237" t="str">
            <v>3100-0007</v>
          </cell>
          <cell r="B237" t="str">
            <v>Sentosa Setiawan</v>
          </cell>
        </row>
        <row r="238">
          <cell r="A238" t="str">
            <v>3100-0008</v>
          </cell>
          <cell r="B238" t="str">
            <v>Kharis Setiawan</v>
          </cell>
        </row>
        <row r="239">
          <cell r="A239" t="str">
            <v>3100-0009</v>
          </cell>
          <cell r="B239" t="str">
            <v>Diogo Azevedo Santiago M</v>
          </cell>
        </row>
        <row r="240">
          <cell r="A240" t="str">
            <v>3100-0010</v>
          </cell>
          <cell r="B240" t="str">
            <v>Other Capital Constribution</v>
          </cell>
        </row>
        <row r="241">
          <cell r="A241" t="str">
            <v>3200-0000</v>
          </cell>
          <cell r="B241" t="str">
            <v>RETAINED EARNING</v>
          </cell>
        </row>
        <row r="242">
          <cell r="A242" t="str">
            <v>3201-0000</v>
          </cell>
          <cell r="B242" t="str">
            <v>R/E Last year</v>
          </cell>
        </row>
        <row r="243">
          <cell r="A243" t="str">
            <v>3202-0000</v>
          </cell>
          <cell r="B243" t="str">
            <v>R/E Current Year</v>
          </cell>
        </row>
        <row r="244">
          <cell r="A244" t="str">
            <v>3203-0000</v>
          </cell>
          <cell r="B244" t="str">
            <v>Profit ( loss) last month</v>
          </cell>
        </row>
        <row r="245">
          <cell r="A245" t="str">
            <v>3203-1000</v>
          </cell>
          <cell r="B245" t="str">
            <v>RE Adjustment 2025</v>
          </cell>
        </row>
        <row r="246">
          <cell r="A246" t="str">
            <v>3204-0000</v>
          </cell>
          <cell r="B246" t="str">
            <v>Profit (loss) current month</v>
          </cell>
        </row>
        <row r="248">
          <cell r="A248" t="str">
            <v>4000-0000</v>
          </cell>
          <cell r="B248" t="str">
            <v>REVENUE</v>
          </cell>
        </row>
        <row r="249">
          <cell r="A249" t="str">
            <v>4100-0000</v>
          </cell>
          <cell r="B249" t="str">
            <v>SERVICE REVENUE</v>
          </cell>
        </row>
        <row r="250">
          <cell r="A250" t="str">
            <v>4101-0000</v>
          </cell>
          <cell r="B250" t="str">
            <v>PADDLE GYM PILATES</v>
          </cell>
        </row>
        <row r="251">
          <cell r="A251" t="str">
            <v>4101-0100</v>
          </cell>
          <cell r="B251" t="str">
            <v>Paddle Revenue</v>
          </cell>
        </row>
        <row r="252">
          <cell r="A252" t="str">
            <v>4101-0101</v>
          </cell>
          <cell r="B252" t="str">
            <v>Coach Rev</v>
          </cell>
        </row>
        <row r="253">
          <cell r="A253" t="str">
            <v>4101-0102</v>
          </cell>
          <cell r="B253" t="str">
            <v>Membership Rev</v>
          </cell>
        </row>
        <row r="254">
          <cell r="A254" t="str">
            <v>4101-0103</v>
          </cell>
          <cell r="B254" t="str">
            <v>Other Rev</v>
          </cell>
        </row>
        <row r="255">
          <cell r="A255" t="str">
            <v>4101-0104</v>
          </cell>
          <cell r="B255" t="str">
            <v>Discount Promo Paddle</v>
          </cell>
        </row>
        <row r="256">
          <cell r="A256" t="str">
            <v>4101-0105</v>
          </cell>
          <cell r="B256" t="str">
            <v>Booking Court Rev</v>
          </cell>
        </row>
        <row r="257">
          <cell r="A257" t="str">
            <v>4101-0106</v>
          </cell>
          <cell r="B257" t="str">
            <v>Rental Racket Rev</v>
          </cell>
        </row>
        <row r="258">
          <cell r="A258" t="str">
            <v>4101-0100</v>
          </cell>
          <cell r="B258" t="str">
            <v>SUB TOTAL Paddle Revenue</v>
          </cell>
        </row>
        <row r="259">
          <cell r="A259" t="str">
            <v>4101-0200</v>
          </cell>
          <cell r="B259" t="str">
            <v>Gym Revenue</v>
          </cell>
        </row>
        <row r="260">
          <cell r="A260" t="str">
            <v>4101-0201</v>
          </cell>
          <cell r="B260" t="str">
            <v>Walk In Rev</v>
          </cell>
        </row>
        <row r="261">
          <cell r="A261" t="str">
            <v>4101-0202</v>
          </cell>
          <cell r="B261" t="str">
            <v>Membership Rev</v>
          </cell>
        </row>
        <row r="262">
          <cell r="A262" t="str">
            <v>4101-0203</v>
          </cell>
          <cell r="B262" t="str">
            <v>Other Rev</v>
          </cell>
        </row>
        <row r="263">
          <cell r="A263" t="str">
            <v>4101-0204</v>
          </cell>
          <cell r="B263" t="str">
            <v xml:space="preserve">Discount Promo Gym </v>
          </cell>
        </row>
        <row r="264">
          <cell r="A264" t="str">
            <v>4101-0200</v>
          </cell>
          <cell r="B264" t="str">
            <v>SUB TOTAL Gym Revenue</v>
          </cell>
        </row>
        <row r="265">
          <cell r="A265" t="str">
            <v>4101-0300</v>
          </cell>
          <cell r="B265" t="str">
            <v>Pilates Revenue</v>
          </cell>
        </row>
        <row r="266">
          <cell r="A266" t="str">
            <v>4101-0301</v>
          </cell>
          <cell r="B266" t="str">
            <v>Walk In Rev</v>
          </cell>
        </row>
        <row r="267">
          <cell r="A267" t="str">
            <v>4101-0302</v>
          </cell>
          <cell r="B267" t="str">
            <v>Membership Rev</v>
          </cell>
        </row>
        <row r="268">
          <cell r="A268" t="str">
            <v>4101-0303</v>
          </cell>
          <cell r="B268" t="str">
            <v>Other Rev</v>
          </cell>
        </row>
        <row r="269">
          <cell r="A269" t="str">
            <v>4101-0304</v>
          </cell>
          <cell r="B269" t="str">
            <v>Discount Promo Pilates</v>
          </cell>
        </row>
        <row r="270">
          <cell r="A270" t="str">
            <v>4101-0300</v>
          </cell>
          <cell r="B270" t="str">
            <v>SUB TOTAL Pilates Revenue</v>
          </cell>
        </row>
        <row r="271">
          <cell r="A271" t="str">
            <v>4101-0400</v>
          </cell>
          <cell r="B271" t="str">
            <v>Merchandise Revenue</v>
          </cell>
        </row>
        <row r="272">
          <cell r="A272" t="str">
            <v>4101-0000</v>
          </cell>
          <cell r="B272" t="str">
            <v>TOTAL Paddle Gym Pilates Merchandise</v>
          </cell>
        </row>
        <row r="273">
          <cell r="A273" t="str">
            <v>4000-0000</v>
          </cell>
          <cell r="B273" t="str">
            <v>TOTAL REVENUE</v>
          </cell>
        </row>
        <row r="274">
          <cell r="A274" t="str">
            <v>5000-0000</v>
          </cell>
          <cell r="B274" t="str">
            <v>OPERATING COST</v>
          </cell>
        </row>
        <row r="275">
          <cell r="A275" t="str">
            <v>5100-0000</v>
          </cell>
          <cell r="B275" t="str">
            <v>COST OF SERVICE REVENUE</v>
          </cell>
        </row>
        <row r="276">
          <cell r="A276" t="str">
            <v>5101-0000</v>
          </cell>
          <cell r="B276" t="str">
            <v>PADDLE GYM PILATES COST</v>
          </cell>
        </row>
        <row r="277">
          <cell r="A277" t="str">
            <v>5101-0100</v>
          </cell>
          <cell r="B277" t="str">
            <v>COST OF PADDLE</v>
          </cell>
        </row>
        <row r="278">
          <cell r="A278" t="str">
            <v>5101-0110</v>
          </cell>
          <cell r="B278" t="str">
            <v xml:space="preserve">Regular PT </v>
          </cell>
        </row>
        <row r="279">
          <cell r="A279" t="str">
            <v>5101-0111</v>
          </cell>
          <cell r="B279" t="str">
            <v xml:space="preserve">Salary </v>
          </cell>
        </row>
        <row r="280">
          <cell r="A280" t="str">
            <v>5101-0112</v>
          </cell>
          <cell r="B280" t="str">
            <v xml:space="preserve">Commission </v>
          </cell>
        </row>
        <row r="281">
          <cell r="A281" t="str">
            <v>5101-0113</v>
          </cell>
          <cell r="B281" t="str">
            <v xml:space="preserve">Benefit </v>
          </cell>
        </row>
        <row r="282">
          <cell r="A282" t="str">
            <v>5101-0114</v>
          </cell>
          <cell r="B282" t="str">
            <v xml:space="preserve">Other Benefit </v>
          </cell>
        </row>
        <row r="283">
          <cell r="A283" t="str">
            <v>5101-0115</v>
          </cell>
          <cell r="B283" t="str">
            <v xml:space="preserve">Tax Allowance </v>
          </cell>
        </row>
        <row r="284">
          <cell r="A284" t="str">
            <v>5101-0120</v>
          </cell>
          <cell r="B284" t="str">
            <v xml:space="preserve">Private PT </v>
          </cell>
        </row>
        <row r="285">
          <cell r="A285" t="str">
            <v>5101-0121</v>
          </cell>
          <cell r="B285" t="str">
            <v xml:space="preserve">Salary </v>
          </cell>
        </row>
        <row r="286">
          <cell r="A286" t="str">
            <v>5101-0122</v>
          </cell>
          <cell r="B286" t="str">
            <v xml:space="preserve">Commission </v>
          </cell>
        </row>
        <row r="287">
          <cell r="A287" t="str">
            <v>5101-0123</v>
          </cell>
          <cell r="B287" t="str">
            <v xml:space="preserve">Benefit </v>
          </cell>
        </row>
        <row r="288">
          <cell r="A288" t="str">
            <v>5101-0124</v>
          </cell>
          <cell r="B288" t="str">
            <v xml:space="preserve">Other Benefit </v>
          </cell>
        </row>
        <row r="289">
          <cell r="A289" t="str">
            <v>5101-0125</v>
          </cell>
          <cell r="B289" t="str">
            <v xml:space="preserve">Tax Allowance </v>
          </cell>
        </row>
        <row r="290">
          <cell r="A290" t="str">
            <v>5101-0100</v>
          </cell>
          <cell r="B290" t="str">
            <v>SUB TOTAL Cost of Paddle</v>
          </cell>
        </row>
        <row r="291">
          <cell r="A291" t="str">
            <v>5101-0200</v>
          </cell>
          <cell r="B291" t="str">
            <v>COST OF GYM</v>
          </cell>
        </row>
        <row r="292">
          <cell r="A292" t="str">
            <v>5101-0210</v>
          </cell>
          <cell r="B292" t="str">
            <v xml:space="preserve">Regular PT </v>
          </cell>
        </row>
        <row r="293">
          <cell r="A293" t="str">
            <v>5101-0211</v>
          </cell>
          <cell r="B293" t="str">
            <v xml:space="preserve">Salary </v>
          </cell>
        </row>
        <row r="294">
          <cell r="A294" t="str">
            <v>5101-0212</v>
          </cell>
          <cell r="B294" t="str">
            <v xml:space="preserve">Commission </v>
          </cell>
        </row>
        <row r="295">
          <cell r="A295" t="str">
            <v>5101-0213</v>
          </cell>
          <cell r="B295" t="str">
            <v xml:space="preserve">Benefit </v>
          </cell>
        </row>
        <row r="296">
          <cell r="A296" t="str">
            <v>5101-0214</v>
          </cell>
          <cell r="B296" t="str">
            <v xml:space="preserve">Other Benefit </v>
          </cell>
        </row>
        <row r="297">
          <cell r="A297" t="str">
            <v>5101-0215</v>
          </cell>
          <cell r="B297" t="str">
            <v xml:space="preserve">Tax Allowance </v>
          </cell>
        </row>
        <row r="298">
          <cell r="A298" t="str">
            <v>5101-0220</v>
          </cell>
          <cell r="B298" t="str">
            <v xml:space="preserve">Private PT </v>
          </cell>
        </row>
        <row r="299">
          <cell r="A299" t="str">
            <v>5101-0221</v>
          </cell>
          <cell r="B299" t="str">
            <v xml:space="preserve">Salary </v>
          </cell>
        </row>
        <row r="300">
          <cell r="A300" t="str">
            <v>5101-0222</v>
          </cell>
          <cell r="B300" t="str">
            <v xml:space="preserve">Commission </v>
          </cell>
        </row>
        <row r="301">
          <cell r="A301" t="str">
            <v>5101-0223</v>
          </cell>
          <cell r="B301" t="str">
            <v xml:space="preserve">Benefit </v>
          </cell>
        </row>
        <row r="302">
          <cell r="A302" t="str">
            <v>5101-0224</v>
          </cell>
          <cell r="B302" t="str">
            <v xml:space="preserve">Other Benefit </v>
          </cell>
        </row>
        <row r="303">
          <cell r="A303" t="str">
            <v>5101-0225</v>
          </cell>
          <cell r="B303" t="str">
            <v xml:space="preserve">Tax Allowance </v>
          </cell>
        </row>
        <row r="304">
          <cell r="A304" t="str">
            <v>5101-0200</v>
          </cell>
          <cell r="B304" t="str">
            <v xml:space="preserve">SUB TOTAL Cost of Gym </v>
          </cell>
        </row>
        <row r="305">
          <cell r="A305" t="str">
            <v>5101-0300</v>
          </cell>
          <cell r="B305" t="str">
            <v>COST OF Pilates</v>
          </cell>
        </row>
        <row r="306">
          <cell r="A306" t="str">
            <v>5101-0310</v>
          </cell>
          <cell r="B306" t="str">
            <v xml:space="preserve">Regular PT </v>
          </cell>
        </row>
        <row r="307">
          <cell r="A307" t="str">
            <v>5101-0311</v>
          </cell>
          <cell r="B307" t="str">
            <v xml:space="preserve">Salary </v>
          </cell>
        </row>
        <row r="308">
          <cell r="A308" t="str">
            <v>5101-0312</v>
          </cell>
          <cell r="B308" t="str">
            <v xml:space="preserve">Commission </v>
          </cell>
        </row>
        <row r="309">
          <cell r="A309" t="str">
            <v>5101-0313</v>
          </cell>
          <cell r="B309" t="str">
            <v xml:space="preserve">Benefit </v>
          </cell>
        </row>
        <row r="310">
          <cell r="A310" t="str">
            <v>5101-0314</v>
          </cell>
          <cell r="B310" t="str">
            <v xml:space="preserve">Other Benefit </v>
          </cell>
        </row>
        <row r="311">
          <cell r="A311" t="str">
            <v>5101-0315</v>
          </cell>
          <cell r="B311" t="str">
            <v xml:space="preserve">Tax Allowance </v>
          </cell>
        </row>
        <row r="312">
          <cell r="A312" t="str">
            <v>5101-0320</v>
          </cell>
          <cell r="B312" t="str">
            <v xml:space="preserve">Private PT </v>
          </cell>
        </row>
        <row r="313">
          <cell r="A313" t="str">
            <v>5101-0321</v>
          </cell>
          <cell r="B313" t="str">
            <v xml:space="preserve">Salary </v>
          </cell>
        </row>
        <row r="314">
          <cell r="A314" t="str">
            <v>5101-0322</v>
          </cell>
          <cell r="B314" t="str">
            <v xml:space="preserve">Commission </v>
          </cell>
        </row>
        <row r="315">
          <cell r="A315" t="str">
            <v>5101-0323</v>
          </cell>
          <cell r="B315" t="str">
            <v xml:space="preserve">Benefit </v>
          </cell>
        </row>
        <row r="316">
          <cell r="A316" t="str">
            <v>5101-0324</v>
          </cell>
          <cell r="B316" t="str">
            <v xml:space="preserve">Other Benefit </v>
          </cell>
        </row>
        <row r="317">
          <cell r="A317" t="str">
            <v>5101-0325</v>
          </cell>
          <cell r="B317" t="str">
            <v xml:space="preserve">Tax Allowance </v>
          </cell>
        </row>
        <row r="318">
          <cell r="A318" t="str">
            <v>5101-0300</v>
          </cell>
          <cell r="B318" t="str">
            <v>SUB TOTAL Cost of Pilates</v>
          </cell>
        </row>
        <row r="319">
          <cell r="A319" t="str">
            <v>5100-0000</v>
          </cell>
          <cell r="B319" t="str">
            <v>SUB TOTAL COST OF Paddle Gym Pilates</v>
          </cell>
        </row>
        <row r="320">
          <cell r="A320" t="str">
            <v>5200-0000</v>
          </cell>
          <cell r="B320" t="str">
            <v xml:space="preserve">Cost of Merchandise Sold </v>
          </cell>
        </row>
        <row r="321">
          <cell r="A321" t="str">
            <v>5200-0100</v>
          </cell>
          <cell r="B321" t="str">
            <v>Purchase Discount</v>
          </cell>
        </row>
        <row r="322">
          <cell r="A322" t="str">
            <v>5000-0000</v>
          </cell>
          <cell r="B322" t="str">
            <v>TOTAL OPERATING COST</v>
          </cell>
        </row>
        <row r="323">
          <cell r="A323" t="str">
            <v>6100-0000</v>
          </cell>
          <cell r="B323" t="str">
            <v>PAYROLL &amp; RELATED EXPENSE</v>
          </cell>
        </row>
        <row r="324">
          <cell r="A324" t="str">
            <v>6100-0100</v>
          </cell>
          <cell r="B324" t="str">
            <v>PAYROLL</v>
          </cell>
        </row>
        <row r="325">
          <cell r="A325" t="str">
            <v>6100-0101</v>
          </cell>
          <cell r="B325" t="str">
            <v>Basic Salary</v>
          </cell>
        </row>
        <row r="326">
          <cell r="A326" t="str">
            <v>6100-0102</v>
          </cell>
          <cell r="B326" t="str">
            <v>Overtime</v>
          </cell>
        </row>
        <row r="327">
          <cell r="A327" t="str">
            <v>6100-0103</v>
          </cell>
          <cell r="B327" t="str">
            <v>Casual Labour</v>
          </cell>
        </row>
        <row r="328">
          <cell r="A328" t="str">
            <v>6100-0104</v>
          </cell>
          <cell r="B328" t="str">
            <v>Bonus</v>
          </cell>
        </row>
        <row r="329">
          <cell r="A329" t="str">
            <v>6100-0105</v>
          </cell>
          <cell r="B329" t="str">
            <v>Incentive/allowance</v>
          </cell>
        </row>
        <row r="330">
          <cell r="A330" t="str">
            <v>6100-0106</v>
          </cell>
          <cell r="B330" t="str">
            <v>Transportation Allowance</v>
          </cell>
        </row>
        <row r="331">
          <cell r="A331" t="str">
            <v>6100-0107</v>
          </cell>
          <cell r="B331" t="str">
            <v>Vehicle Expenses Allowance</v>
          </cell>
        </row>
        <row r="332">
          <cell r="A332" t="str">
            <v>6100-0108</v>
          </cell>
          <cell r="B332" t="str">
            <v>Staff Meal Allowance</v>
          </cell>
        </row>
        <row r="333">
          <cell r="A333" t="str">
            <v>6100-0109</v>
          </cell>
          <cell r="B333" t="str">
            <v>Staff Tax</v>
          </cell>
        </row>
        <row r="334">
          <cell r="A334" t="str">
            <v>6100-0110</v>
          </cell>
          <cell r="B334" t="str">
            <v>Staff Social Security</v>
          </cell>
        </row>
        <row r="335">
          <cell r="A335" t="str">
            <v>6100-0111</v>
          </cell>
          <cell r="B335" t="str">
            <v>Medical Insurance</v>
          </cell>
        </row>
        <row r="336">
          <cell r="A336" t="str">
            <v>6100-0112</v>
          </cell>
          <cell r="B336" t="str">
            <v>Staff Medical (BPJS TK )</v>
          </cell>
        </row>
        <row r="337">
          <cell r="A337" t="str">
            <v>6100-0113</v>
          </cell>
          <cell r="B337" t="str">
            <v>Employee Provision</v>
          </cell>
        </row>
        <row r="338">
          <cell r="A338" t="str">
            <v>6100-0100</v>
          </cell>
          <cell r="B338" t="str">
            <v>SUB TOTAL PAYROLL</v>
          </cell>
        </row>
        <row r="339">
          <cell r="A339" t="str">
            <v>6100-0300</v>
          </cell>
          <cell r="B339" t="str">
            <v>HUMAN RESOURCES</v>
          </cell>
        </row>
        <row r="340">
          <cell r="A340" t="str">
            <v>6100-0301</v>
          </cell>
          <cell r="B340" t="str">
            <v>Management Training</v>
          </cell>
        </row>
        <row r="341">
          <cell r="A341" t="str">
            <v>6100-0302</v>
          </cell>
          <cell r="B341" t="str">
            <v>Staff Training</v>
          </cell>
        </row>
        <row r="342">
          <cell r="A342" t="str">
            <v>6100-0303</v>
          </cell>
          <cell r="B342" t="str">
            <v>Recruitment Expenses</v>
          </cell>
        </row>
        <row r="343">
          <cell r="A343" t="str">
            <v>6100-0304</v>
          </cell>
          <cell r="B343" t="str">
            <v>Medical Reimbursment</v>
          </cell>
        </row>
        <row r="344">
          <cell r="A344" t="str">
            <v>6100-0305</v>
          </cell>
          <cell r="B344" t="str">
            <v>HR Survey Fee</v>
          </cell>
        </row>
        <row r="345">
          <cell r="A345" t="str">
            <v>6100-0306</v>
          </cell>
          <cell r="B345" t="str">
            <v>HR Sundry Expenses</v>
          </cell>
        </row>
        <row r="346">
          <cell r="A346" t="str">
            <v>6100-0307</v>
          </cell>
          <cell r="B346" t="str">
            <v>Officer's Meals</v>
          </cell>
        </row>
        <row r="347">
          <cell r="A347" t="str">
            <v>6100-0300</v>
          </cell>
          <cell r="B347" t="str">
            <v>SUB TOTAL HUMAN RESOURCES</v>
          </cell>
        </row>
        <row r="348">
          <cell r="A348" t="str">
            <v>6100-0000</v>
          </cell>
          <cell r="B348" t="str">
            <v>TOTAL PAYROLL &amp; RELATED EXPENSE</v>
          </cell>
        </row>
        <row r="349">
          <cell r="A349" t="str">
            <v>6200-0000</v>
          </cell>
          <cell r="B349" t="str">
            <v>OPERATIONAL EXPENSES'</v>
          </cell>
        </row>
        <row r="350">
          <cell r="A350" t="str">
            <v>6200-0100</v>
          </cell>
          <cell r="B350" t="str">
            <v>OPERATIONAL EXPENSES</v>
          </cell>
        </row>
        <row r="351">
          <cell r="A351" t="str">
            <v>6200-0101</v>
          </cell>
          <cell r="B351" t="str">
            <v>Paddle Supplies</v>
          </cell>
        </row>
        <row r="352">
          <cell r="A352" t="str">
            <v>6200-0102</v>
          </cell>
          <cell r="B352" t="str">
            <v>Gym Supplies</v>
          </cell>
        </row>
        <row r="353">
          <cell r="A353" t="str">
            <v>6200-0103</v>
          </cell>
          <cell r="B353" t="str">
            <v>Pilates Supplies</v>
          </cell>
        </row>
        <row r="354">
          <cell r="A354" t="str">
            <v>6200-0104</v>
          </cell>
          <cell r="B354" t="str">
            <v>Other Supplies</v>
          </cell>
        </row>
        <row r="355">
          <cell r="A355" t="str">
            <v>6200-0105</v>
          </cell>
          <cell r="B355" t="str">
            <v>Cleaning Supplies</v>
          </cell>
        </row>
        <row r="356">
          <cell r="A356" t="str">
            <v>6200-0106</v>
          </cell>
          <cell r="B356" t="str">
            <v>Uniforms</v>
          </cell>
        </row>
        <row r="357">
          <cell r="A357" t="str">
            <v>6200-0107</v>
          </cell>
          <cell r="B357" t="str">
            <v>Laundry</v>
          </cell>
        </row>
        <row r="358">
          <cell r="A358" t="str">
            <v>6200-0108</v>
          </cell>
          <cell r="B358" t="str">
            <v xml:space="preserve">Paddle Utensil </v>
          </cell>
        </row>
        <row r="359">
          <cell r="A359" t="str">
            <v>6200-0109</v>
          </cell>
          <cell r="B359" t="str">
            <v xml:space="preserve">Gym Utensil </v>
          </cell>
        </row>
        <row r="360">
          <cell r="A360" t="str">
            <v>6200-0110</v>
          </cell>
          <cell r="B360" t="str">
            <v xml:space="preserve">Pilates Utensil </v>
          </cell>
        </row>
        <row r="361">
          <cell r="A361" t="str">
            <v>6200-0111</v>
          </cell>
          <cell r="B361" t="str">
            <v>Decoration</v>
          </cell>
        </row>
        <row r="362">
          <cell r="A362" t="str">
            <v>6200-0112</v>
          </cell>
          <cell r="B362" t="str">
            <v>Rental Equipment</v>
          </cell>
        </row>
        <row r="363">
          <cell r="A363" t="str">
            <v>6200-0113</v>
          </cell>
          <cell r="B363" t="str">
            <v>Pest Control</v>
          </cell>
        </row>
        <row r="364">
          <cell r="A364" t="str">
            <v>6200-0114</v>
          </cell>
          <cell r="B364" t="str">
            <v>Spoilage</v>
          </cell>
        </row>
        <row r="365">
          <cell r="A365" t="str">
            <v>6200-0115</v>
          </cell>
          <cell r="B365" t="str">
            <v>Event Supplies</v>
          </cell>
        </row>
        <row r="366">
          <cell r="A366" t="str">
            <v>6200-0116</v>
          </cell>
          <cell r="B366" t="str">
            <v>Security</v>
          </cell>
        </row>
        <row r="367">
          <cell r="A367" t="str">
            <v>6200-0117</v>
          </cell>
          <cell r="B367" t="str">
            <v xml:space="preserve">Music </v>
          </cell>
        </row>
        <row r="368">
          <cell r="A368" t="str">
            <v>6200-0118</v>
          </cell>
          <cell r="B368" t="str">
            <v>Expense PPN Masukan</v>
          </cell>
        </row>
        <row r="369">
          <cell r="A369" t="str">
            <v>6200-0119</v>
          </cell>
          <cell r="B369" t="str">
            <v>Delivery Charge</v>
          </cell>
        </row>
        <row r="370">
          <cell r="A370" t="str">
            <v>6200-0120</v>
          </cell>
          <cell r="B370" t="str">
            <v>Toilet Supplies</v>
          </cell>
        </row>
        <row r="371">
          <cell r="A371" t="str">
            <v>6200-0100</v>
          </cell>
          <cell r="B371" t="str">
            <v>SUB TOTAL OPERATIONAL EXPENSES</v>
          </cell>
        </row>
        <row r="372">
          <cell r="A372" t="str">
            <v>6200-0150</v>
          </cell>
          <cell r="B372" t="str">
            <v>ROYALTY and MANAGEMENT FEE</v>
          </cell>
        </row>
        <row r="373">
          <cell r="A373" t="str">
            <v>6200-0151</v>
          </cell>
          <cell r="B373" t="str">
            <v>Royalti Fee</v>
          </cell>
        </row>
        <row r="374">
          <cell r="A374" t="str">
            <v>6200-0152</v>
          </cell>
          <cell r="B374" t="str">
            <v>Management Fee</v>
          </cell>
        </row>
        <row r="375">
          <cell r="A375" t="str">
            <v>6200-0150</v>
          </cell>
          <cell r="B375" t="str">
            <v>SUB ROYALTY and MANAGEMENT FEE</v>
          </cell>
        </row>
        <row r="376">
          <cell r="A376" t="str">
            <v>6200-0200</v>
          </cell>
          <cell r="B376" t="str">
            <v>OFFICE EXPENSE</v>
          </cell>
        </row>
        <row r="377">
          <cell r="A377" t="str">
            <v>6200-0201</v>
          </cell>
          <cell r="B377" t="str">
            <v>Courier and Postage Service</v>
          </cell>
        </row>
        <row r="378">
          <cell r="A378" t="str">
            <v>6200-0202</v>
          </cell>
          <cell r="B378" t="str">
            <v>Donation</v>
          </cell>
        </row>
        <row r="379">
          <cell r="A379" t="str">
            <v>6200-0203</v>
          </cell>
          <cell r="B379" t="str">
            <v>Printing</v>
          </cell>
        </row>
        <row r="380">
          <cell r="A380" t="str">
            <v>6200-0204</v>
          </cell>
          <cell r="B380" t="str">
            <v>Stationary</v>
          </cell>
        </row>
        <row r="381">
          <cell r="A381" t="str">
            <v>6200-0205</v>
          </cell>
          <cell r="B381" t="str">
            <v>Newspaper &amp; Magazine</v>
          </cell>
        </row>
        <row r="382">
          <cell r="A382" t="str">
            <v>6200-0206</v>
          </cell>
          <cell r="B382" t="str">
            <v>Office Supplies</v>
          </cell>
        </row>
        <row r="383">
          <cell r="A383" t="str">
            <v>6200-0207</v>
          </cell>
          <cell r="B383" t="str">
            <v>Equipment Rental ( Fotocopy Machine )</v>
          </cell>
        </row>
        <row r="384">
          <cell r="A384" t="str">
            <v>6200-0208</v>
          </cell>
          <cell r="B384" t="str">
            <v>Parking Plaza Index</v>
          </cell>
        </row>
        <row r="385">
          <cell r="A385" t="str">
            <v>6200-0209</v>
          </cell>
          <cell r="B385" t="str">
            <v>Bank Charge</v>
          </cell>
        </row>
        <row r="386">
          <cell r="A386" t="str">
            <v>6200-0210</v>
          </cell>
          <cell r="B386" t="str">
            <v>Credit Card Commision</v>
          </cell>
        </row>
        <row r="387">
          <cell r="A387" t="str">
            <v>6200-0211</v>
          </cell>
          <cell r="B387" t="str">
            <v>Office Sundry Expenses</v>
          </cell>
        </row>
        <row r="388">
          <cell r="A388" t="str">
            <v>6200-0212</v>
          </cell>
          <cell r="B388" t="str">
            <v>Domestic/International Transportation</v>
          </cell>
        </row>
        <row r="389">
          <cell r="A389" t="str">
            <v>6200-0213</v>
          </cell>
          <cell r="B389" t="str">
            <v>Domestic/International Tiket &amp; Visa</v>
          </cell>
        </row>
        <row r="390">
          <cell r="A390" t="str">
            <v>6200-0214</v>
          </cell>
          <cell r="B390" t="str">
            <v>Domestic/International Accomodation</v>
          </cell>
        </row>
        <row r="391">
          <cell r="A391" t="str">
            <v>6200-0215</v>
          </cell>
          <cell r="B391" t="str">
            <v>Gasoline, Toll, Parking, Other Transport etc</v>
          </cell>
        </row>
        <row r="392">
          <cell r="A392" t="str">
            <v>6200-0216</v>
          </cell>
          <cell r="B392" t="str">
            <v>Bussiness/Outlet Development</v>
          </cell>
        </row>
        <row r="393">
          <cell r="A393" t="str">
            <v>6200-0217</v>
          </cell>
          <cell r="B393" t="str">
            <v>Ceremonial/Religion Expenses</v>
          </cell>
        </row>
        <row r="394">
          <cell r="A394" t="str">
            <v>6200-0218</v>
          </cell>
          <cell r="B394" t="str">
            <v>Entertainment  Office</v>
          </cell>
        </row>
        <row r="395">
          <cell r="A395" t="str">
            <v>6200-0220</v>
          </cell>
          <cell r="B395" t="str">
            <v>Pajak Bumi &amp; Bangunan</v>
          </cell>
        </row>
        <row r="396">
          <cell r="A396" t="str">
            <v>6200-0230</v>
          </cell>
          <cell r="B396" t="str">
            <v>Post Employee Benefit</v>
          </cell>
        </row>
        <row r="397">
          <cell r="A397" t="str">
            <v>6200-0231</v>
          </cell>
          <cell r="B397" t="str">
            <v>Licences and Permit</v>
          </cell>
        </row>
        <row r="398">
          <cell r="A398" t="str">
            <v>6200-0232</v>
          </cell>
          <cell r="B398" t="str">
            <v>Google One Drive</v>
          </cell>
        </row>
        <row r="399">
          <cell r="A399" t="str">
            <v>6200-0200</v>
          </cell>
          <cell r="B399" t="str">
            <v>SUB TOTAL OFFICE EXPENSE</v>
          </cell>
        </row>
        <row r="400">
          <cell r="A400" t="str">
            <v>6200-0300</v>
          </cell>
          <cell r="B400" t="str">
            <v>REPAIR &amp; MAINTENANCE</v>
          </cell>
        </row>
        <row r="401">
          <cell r="A401" t="str">
            <v>6200-0301</v>
          </cell>
          <cell r="B401" t="str">
            <v>Furniture &amp; Fixture Maintenance</v>
          </cell>
        </row>
        <row r="402">
          <cell r="A402" t="str">
            <v>6200-0302</v>
          </cell>
          <cell r="B402" t="str">
            <v>Office Equipment Maintenance</v>
          </cell>
        </row>
        <row r="403">
          <cell r="A403" t="str">
            <v>6200-0303</v>
          </cell>
          <cell r="B403" t="str">
            <v>Hardware/Software Maintenance</v>
          </cell>
        </row>
        <row r="404">
          <cell r="A404" t="str">
            <v>6200-0304</v>
          </cell>
          <cell r="B404" t="str">
            <v>Paddle Equipment Maintenance</v>
          </cell>
        </row>
        <row r="405">
          <cell r="A405" t="str">
            <v>6200-0305</v>
          </cell>
          <cell r="B405" t="str">
            <v>Gym Equipment Maintenance</v>
          </cell>
        </row>
        <row r="406">
          <cell r="A406" t="str">
            <v>6200-0306</v>
          </cell>
          <cell r="B406" t="str">
            <v>Pilates Equipment Maintenance</v>
          </cell>
        </row>
        <row r="407">
          <cell r="A407" t="str">
            <v>6200-0307</v>
          </cell>
          <cell r="B407" t="str">
            <v>Renovation and Plantation</v>
          </cell>
        </row>
        <row r="408">
          <cell r="A408" t="str">
            <v>6200-0308</v>
          </cell>
          <cell r="B408" t="str">
            <v>Sundry Maintenance</v>
          </cell>
        </row>
        <row r="409">
          <cell r="A409" t="str">
            <v>6200-0309</v>
          </cell>
          <cell r="B409" t="str">
            <v>Vehicle Maintenance</v>
          </cell>
        </row>
        <row r="410">
          <cell r="A410" t="str">
            <v>6200-0310</v>
          </cell>
          <cell r="B410" t="str">
            <v>Electrical &amp; Bulb</v>
          </cell>
        </row>
        <row r="411">
          <cell r="A411" t="str">
            <v>6200-0300</v>
          </cell>
          <cell r="B411" t="str">
            <v>SUB TOTAL REPAIR &amp; MAINTENANCE</v>
          </cell>
        </row>
        <row r="412">
          <cell r="A412" t="str">
            <v>6200-0401</v>
          </cell>
          <cell r="B412" t="str">
            <v>SALES &amp; PROMOSI</v>
          </cell>
        </row>
        <row r="413">
          <cell r="A413" t="str">
            <v>6200-0402</v>
          </cell>
          <cell r="B413" t="str">
            <v>Marketing Fee-Comunication</v>
          </cell>
        </row>
        <row r="414">
          <cell r="A414" t="str">
            <v>6200-0403</v>
          </cell>
          <cell r="B414" t="str">
            <v>Marketing Fee-social Media</v>
          </cell>
        </row>
        <row r="415">
          <cell r="A415" t="str">
            <v>6200-0404</v>
          </cell>
          <cell r="B415" t="str">
            <v>Marketing Fee- Creative</v>
          </cell>
        </row>
        <row r="416">
          <cell r="A416" t="str">
            <v>6200-0405</v>
          </cell>
          <cell r="B416" t="str">
            <v>R&amp;D</v>
          </cell>
        </row>
        <row r="417">
          <cell r="A417" t="str">
            <v>6200-0406</v>
          </cell>
          <cell r="B417" t="str">
            <v>Advertising</v>
          </cell>
        </row>
        <row r="418">
          <cell r="A418" t="str">
            <v>6200-0407</v>
          </cell>
          <cell r="B418" t="str">
            <v>Advertisement Tax</v>
          </cell>
        </row>
        <row r="419">
          <cell r="A419" t="str">
            <v>6200-0408</v>
          </cell>
          <cell r="B419" t="str">
            <v>Sales Promotion</v>
          </cell>
        </row>
        <row r="420">
          <cell r="A420" t="str">
            <v>6200-0409</v>
          </cell>
          <cell r="B420" t="str">
            <v>Event Promotion</v>
          </cell>
        </row>
        <row r="421">
          <cell r="A421" t="str">
            <v>6200-0410</v>
          </cell>
          <cell r="B421" t="str">
            <v>Gifts</v>
          </cell>
        </row>
        <row r="422">
          <cell r="A422" t="str">
            <v>6200-0411</v>
          </cell>
          <cell r="B422" t="str">
            <v>Charity &amp; Donation</v>
          </cell>
        </row>
        <row r="423">
          <cell r="A423" t="str">
            <v>6200-0412</v>
          </cell>
          <cell r="B423" t="str">
            <v>Entertainment</v>
          </cell>
        </row>
        <row r="424">
          <cell r="A424" t="str">
            <v>6200-0413</v>
          </cell>
          <cell r="B424" t="str">
            <v>Photography</v>
          </cell>
        </row>
        <row r="425">
          <cell r="A425" t="str">
            <v>6200-0414</v>
          </cell>
          <cell r="B425" t="str">
            <v>Talent and Musics</v>
          </cell>
        </row>
        <row r="426">
          <cell r="A426" t="str">
            <v>6200-0401</v>
          </cell>
          <cell r="B426" t="str">
            <v>SUB TOTAL SALES &amp; PROMOSI</v>
          </cell>
        </row>
        <row r="427">
          <cell r="A427" t="str">
            <v>6200-0500</v>
          </cell>
          <cell r="B427" t="str">
            <v>UTILITY</v>
          </cell>
        </row>
        <row r="428">
          <cell r="A428" t="str">
            <v>6200-0501</v>
          </cell>
          <cell r="B428" t="str">
            <v>Electricity</v>
          </cell>
        </row>
        <row r="429">
          <cell r="A429" t="str">
            <v>6200-0502</v>
          </cell>
          <cell r="B429" t="str">
            <v>Water</v>
          </cell>
        </row>
        <row r="430">
          <cell r="A430" t="str">
            <v>6200-0503</v>
          </cell>
          <cell r="B430" t="str">
            <v>Gas</v>
          </cell>
        </row>
        <row r="431">
          <cell r="A431" t="str">
            <v>6200-0504</v>
          </cell>
          <cell r="B431" t="str">
            <v>Air Conditioning</v>
          </cell>
        </row>
        <row r="432">
          <cell r="A432" t="str">
            <v>6200-0505</v>
          </cell>
          <cell r="B432" t="str">
            <v>General Cleaning</v>
          </cell>
        </row>
        <row r="433">
          <cell r="A433" t="str">
            <v>6200-0506</v>
          </cell>
          <cell r="B433" t="str">
            <v>Garbage</v>
          </cell>
        </row>
        <row r="434">
          <cell r="A434" t="str">
            <v>6200-0507</v>
          </cell>
          <cell r="B434" t="str">
            <v>Internet</v>
          </cell>
        </row>
        <row r="435">
          <cell r="A435" t="str">
            <v>6200-0508</v>
          </cell>
          <cell r="B435" t="str">
            <v>Telphone</v>
          </cell>
        </row>
        <row r="436">
          <cell r="A436" t="str">
            <v>6200-0500</v>
          </cell>
          <cell r="B436" t="str">
            <v>SUB TOTAL UTILITY</v>
          </cell>
        </row>
        <row r="437">
          <cell r="A437" t="str">
            <v>6200-0600</v>
          </cell>
          <cell r="B437" t="str">
            <v>RENTAL</v>
          </cell>
        </row>
        <row r="438">
          <cell r="A438" t="str">
            <v>6200-0601</v>
          </cell>
          <cell r="B438" t="str">
            <v xml:space="preserve">Fixed Rental </v>
          </cell>
        </row>
        <row r="439">
          <cell r="A439" t="str">
            <v>6200-0602</v>
          </cell>
          <cell r="B439" t="str">
            <v>N/A</v>
          </cell>
        </row>
        <row r="440">
          <cell r="A440" t="str">
            <v>6200-0603</v>
          </cell>
          <cell r="B440" t="str">
            <v>N/A</v>
          </cell>
        </row>
        <row r="441">
          <cell r="A441" t="str">
            <v>6200-0604</v>
          </cell>
          <cell r="B441" t="str">
            <v>N/A</v>
          </cell>
        </row>
        <row r="442">
          <cell r="A442" t="str">
            <v>6200-0605</v>
          </cell>
          <cell r="B442" t="str">
            <v>N/A</v>
          </cell>
        </row>
        <row r="443">
          <cell r="A443" t="str">
            <v>6200-0606</v>
          </cell>
          <cell r="B443" t="str">
            <v>Appartment Rental</v>
          </cell>
        </row>
        <row r="444">
          <cell r="A444" t="str">
            <v>6200-0607</v>
          </cell>
          <cell r="B444" t="str">
            <v>Parking</v>
          </cell>
        </row>
        <row r="445">
          <cell r="A445" t="str">
            <v>6200-0608</v>
          </cell>
          <cell r="B445" t="str">
            <v>N/A</v>
          </cell>
        </row>
        <row r="446">
          <cell r="A446" t="str">
            <v>6200-0600</v>
          </cell>
          <cell r="B446" t="str">
            <v>SUB TOTAL RENTAL</v>
          </cell>
        </row>
        <row r="447">
          <cell r="A447" t="str">
            <v>6200-0700</v>
          </cell>
          <cell r="B447" t="str">
            <v>SERVICE CHARGES</v>
          </cell>
        </row>
        <row r="448">
          <cell r="A448" t="str">
            <v>6200-0701</v>
          </cell>
          <cell r="B448" t="str">
            <v>Service charge</v>
          </cell>
        </row>
        <row r="449">
          <cell r="A449" t="str">
            <v>6200-0702</v>
          </cell>
          <cell r="B449" t="str">
            <v>N/A</v>
          </cell>
        </row>
        <row r="450">
          <cell r="A450" t="str">
            <v>6200-0703</v>
          </cell>
          <cell r="B450" t="str">
            <v>N/A</v>
          </cell>
        </row>
        <row r="451">
          <cell r="A451" t="str">
            <v>6200-0704</v>
          </cell>
          <cell r="B451" t="str">
            <v>N/A</v>
          </cell>
        </row>
        <row r="452">
          <cell r="A452" t="str">
            <v>6200-0705</v>
          </cell>
          <cell r="B452" t="str">
            <v>N/A</v>
          </cell>
        </row>
        <row r="453">
          <cell r="A453" t="str">
            <v>6200-0706</v>
          </cell>
          <cell r="B453" t="str">
            <v>N/A</v>
          </cell>
        </row>
        <row r="454">
          <cell r="A454" t="str">
            <v>6200-0707</v>
          </cell>
          <cell r="B454" t="str">
            <v>N/A</v>
          </cell>
        </row>
        <row r="455">
          <cell r="A455" t="str">
            <v>6200-0700</v>
          </cell>
          <cell r="B455" t="str">
            <v>SUB TOTAL SERVICE CHARGE</v>
          </cell>
        </row>
        <row r="456">
          <cell r="A456" t="str">
            <v>6200-0800</v>
          </cell>
          <cell r="B456" t="str">
            <v>PROFESIONAL FEE</v>
          </cell>
        </row>
        <row r="457">
          <cell r="A457" t="str">
            <v>6200-0801</v>
          </cell>
          <cell r="B457" t="str">
            <v>Audit Fee</v>
          </cell>
        </row>
        <row r="458">
          <cell r="A458" t="str">
            <v>6200-0802</v>
          </cell>
          <cell r="B458" t="str">
            <v>Legal &amp; Profesional Fee</v>
          </cell>
        </row>
        <row r="459">
          <cell r="A459" t="str">
            <v>6200-0803</v>
          </cell>
          <cell r="B459" t="str">
            <v>IT consultant</v>
          </cell>
        </row>
        <row r="460">
          <cell r="A460" t="str">
            <v>6200-0800</v>
          </cell>
          <cell r="B460" t="str">
            <v>SUB TOTAL PROFESIONAL FEE</v>
          </cell>
        </row>
        <row r="461">
          <cell r="A461" t="str">
            <v>6200-0900</v>
          </cell>
          <cell r="B461" t="str">
            <v>INSURANCE</v>
          </cell>
        </row>
        <row r="462">
          <cell r="A462" t="str">
            <v>6200-0901</v>
          </cell>
          <cell r="B462" t="str">
            <v>Property Insurance</v>
          </cell>
        </row>
        <row r="463">
          <cell r="A463" t="str">
            <v>6200-0900</v>
          </cell>
          <cell r="B463" t="str">
            <v>SUB TOTAL INSURANCE</v>
          </cell>
        </row>
        <row r="464">
          <cell r="A464" t="str">
            <v>6200-0910</v>
          </cell>
          <cell r="B464" t="str">
            <v>PRE OPERATING</v>
          </cell>
        </row>
        <row r="465">
          <cell r="A465" t="str">
            <v>6200-0911</v>
          </cell>
          <cell r="B465" t="str">
            <v>Preopening Expenses - Payroll</v>
          </cell>
        </row>
        <row r="466">
          <cell r="A466" t="str">
            <v>6200-0912</v>
          </cell>
          <cell r="B466" t="str">
            <v>Preopening Expenses - Training</v>
          </cell>
        </row>
        <row r="467">
          <cell r="A467" t="str">
            <v>6200-0913</v>
          </cell>
          <cell r="B467" t="str">
            <v>Preopening Expenses - Travel, Accomodation, Transport</v>
          </cell>
        </row>
        <row r="468">
          <cell r="A468" t="str">
            <v>6200-0914</v>
          </cell>
          <cell r="B468" t="str">
            <v>Preopening Expenses - Other</v>
          </cell>
        </row>
        <row r="469">
          <cell r="A469" t="str">
            <v>6200-0910</v>
          </cell>
          <cell r="B469" t="str">
            <v>SUB TOTAL PRE OPERATING EXPENSES</v>
          </cell>
        </row>
        <row r="470">
          <cell r="A470" t="str">
            <v>6200-0000</v>
          </cell>
          <cell r="B470" t="str">
            <v>TOTAL OPERATIONAL EXPENSES(Exc HR Cost)</v>
          </cell>
        </row>
        <row r="471">
          <cell r="A471" t="str">
            <v>6300-0100</v>
          </cell>
          <cell r="B471" t="str">
            <v>DEPRECIATION</v>
          </cell>
        </row>
        <row r="472">
          <cell r="A472" t="str">
            <v>6300-0101</v>
          </cell>
          <cell r="B472" t="str">
            <v>Leasehold Improvement</v>
          </cell>
        </row>
        <row r="473">
          <cell r="A473" t="str">
            <v>6300-0102</v>
          </cell>
          <cell r="B473" t="str">
            <v>Dep Furniture &amp; Fixture</v>
          </cell>
        </row>
        <row r="474">
          <cell r="A474" t="str">
            <v>6300-0103</v>
          </cell>
          <cell r="B474" t="str">
            <v>Dep Plant &amp; Machineri</v>
          </cell>
        </row>
        <row r="475">
          <cell r="A475" t="str">
            <v>6300-0104</v>
          </cell>
          <cell r="B475" t="str">
            <v>Dep Motor Vehicle</v>
          </cell>
        </row>
        <row r="476">
          <cell r="A476" t="str">
            <v>6300-0105</v>
          </cell>
          <cell r="B476" t="str">
            <v>Dep Computer Hardware</v>
          </cell>
        </row>
        <row r="477">
          <cell r="A477" t="str">
            <v>6300-0106</v>
          </cell>
          <cell r="B477" t="str">
            <v>Dep Paddle Equipment</v>
          </cell>
        </row>
        <row r="478">
          <cell r="A478" t="str">
            <v>6300-0107</v>
          </cell>
          <cell r="B478" t="str">
            <v>Dep Gym Equipment</v>
          </cell>
        </row>
        <row r="479">
          <cell r="A479" t="str">
            <v>6300-0108</v>
          </cell>
          <cell r="B479" t="str">
            <v>Dep Pilates Equipment</v>
          </cell>
        </row>
        <row r="480">
          <cell r="A480" t="str">
            <v>6300-0109</v>
          </cell>
          <cell r="B480" t="str">
            <v>Dep Of Right of Used Assets</v>
          </cell>
        </row>
        <row r="481">
          <cell r="A481" t="str">
            <v>6300-0100</v>
          </cell>
          <cell r="B481" t="str">
            <v>SUB TOTAL DEPRECIATION</v>
          </cell>
        </row>
        <row r="482">
          <cell r="A482" t="str">
            <v>6300-0200</v>
          </cell>
          <cell r="B482" t="str">
            <v>AMORTIZATION</v>
          </cell>
        </row>
        <row r="483">
          <cell r="A483" t="str">
            <v>6300-0201</v>
          </cell>
          <cell r="B483" t="str">
            <v>Franchise Fee</v>
          </cell>
        </row>
        <row r="484">
          <cell r="A484" t="str">
            <v>6300-0200</v>
          </cell>
          <cell r="B484" t="str">
            <v>SUB TOTAL AMORTIZATION</v>
          </cell>
        </row>
        <row r="485">
          <cell r="A485" t="str">
            <v>7000-0000</v>
          </cell>
          <cell r="B485" t="str">
            <v>OTHERS INCOME/EXPENSES</v>
          </cell>
        </row>
        <row r="486">
          <cell r="A486" t="str">
            <v>7300-0100</v>
          </cell>
          <cell r="B486" t="str">
            <v>OTHERS INCOME</v>
          </cell>
        </row>
        <row r="487">
          <cell r="A487" t="str">
            <v>7300-0101</v>
          </cell>
          <cell r="B487" t="str">
            <v>Interest Bank Income</v>
          </cell>
        </row>
        <row r="488">
          <cell r="A488" t="str">
            <v>7300-0102</v>
          </cell>
          <cell r="B488" t="str">
            <v>Gain Forex</v>
          </cell>
        </row>
        <row r="489">
          <cell r="A489" t="str">
            <v>7300-0103</v>
          </cell>
          <cell r="B489" t="str">
            <v>Income Purchasing</v>
          </cell>
        </row>
        <row r="490">
          <cell r="A490" t="str">
            <v>7300-0104</v>
          </cell>
          <cell r="B490" t="str">
            <v>Outside Catering</v>
          </cell>
        </row>
        <row r="491">
          <cell r="A491" t="str">
            <v>7300-0199</v>
          </cell>
          <cell r="B491" t="str">
            <v>Gain/Loss On Sale Of Asset</v>
          </cell>
        </row>
        <row r="492">
          <cell r="A492" t="str">
            <v>7300-0105</v>
          </cell>
          <cell r="B492" t="str">
            <v>Income-Outlet Transfer</v>
          </cell>
        </row>
        <row r="493">
          <cell r="A493" t="str">
            <v>7300-0106</v>
          </cell>
          <cell r="B493" t="str">
            <v>Income-Consultant Fee</v>
          </cell>
        </row>
        <row r="494">
          <cell r="A494" t="str">
            <v>7300-0107</v>
          </cell>
          <cell r="B494" t="str">
            <v>Income-Management Fee</v>
          </cell>
        </row>
        <row r="495">
          <cell r="A495" t="str">
            <v>7300-0100</v>
          </cell>
          <cell r="B495" t="str">
            <v>SUB TOTAL OTHERS INCOME</v>
          </cell>
        </row>
        <row r="496">
          <cell r="A496" t="str">
            <v>7300-0200</v>
          </cell>
          <cell r="B496" t="str">
            <v>OTHERS EXPENSES</v>
          </cell>
        </row>
        <row r="497">
          <cell r="A497" t="str">
            <v>7300-0201</v>
          </cell>
          <cell r="B497" t="str">
            <v>Bank ChargesExpenses</v>
          </cell>
        </row>
        <row r="498">
          <cell r="A498" t="str">
            <v>7300-0202</v>
          </cell>
          <cell r="B498" t="str">
            <v>Consultant Fee</v>
          </cell>
        </row>
        <row r="499">
          <cell r="A499" t="str">
            <v>7300-0203</v>
          </cell>
          <cell r="B499" t="str">
            <v>Short/Over</v>
          </cell>
        </row>
        <row r="500">
          <cell r="A500" t="str">
            <v>7300-0204</v>
          </cell>
          <cell r="B500" t="str">
            <v>EXP PPN Masuk</v>
          </cell>
        </row>
        <row r="501">
          <cell r="A501" t="str">
            <v>7300-0205</v>
          </cell>
          <cell r="B501" t="str">
            <v>Biaya Direksi</v>
          </cell>
        </row>
        <row r="502">
          <cell r="A502" t="str">
            <v>7300-0206</v>
          </cell>
          <cell r="B502" t="str">
            <v>Interest on ROU</v>
          </cell>
        </row>
        <row r="503">
          <cell r="A503" t="str">
            <v>7300-0207</v>
          </cell>
          <cell r="B503" t="str">
            <v>Other Expenses</v>
          </cell>
        </row>
        <row r="504">
          <cell r="A504" t="str">
            <v>7300-0200</v>
          </cell>
          <cell r="B504" t="str">
            <v>SUB TOTAL OTHERS EXPENSES</v>
          </cell>
        </row>
        <row r="505">
          <cell r="A505" t="str">
            <v>7300-0220</v>
          </cell>
          <cell r="B505" t="str">
            <v>INTEREST and TAX</v>
          </cell>
        </row>
        <row r="506">
          <cell r="A506" t="str">
            <v>7300-0221</v>
          </cell>
          <cell r="B506" t="str">
            <v>Loan Interest Expenses</v>
          </cell>
        </row>
        <row r="507">
          <cell r="A507" t="str">
            <v>7300-0222</v>
          </cell>
          <cell r="B507" t="str">
            <v>PPH psl 29</v>
          </cell>
        </row>
        <row r="508">
          <cell r="A508" t="str">
            <v>7300-0220</v>
          </cell>
          <cell r="B508" t="str">
            <v>SUB TOTAL INTEREST and TAX</v>
          </cell>
        </row>
        <row r="512">
          <cell r="B512" t="str">
            <v>Revenue</v>
          </cell>
        </row>
        <row r="513">
          <cell r="B513" t="str">
            <v>CoGs</v>
          </cell>
        </row>
        <row r="514">
          <cell r="B514" t="str">
            <v>Expenses Unit</v>
          </cell>
        </row>
        <row r="515">
          <cell r="B515" t="str">
            <v>NOP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DF33-3450-4A0C-8DF2-78F48B714235}">
  <dimension ref="A1:H15"/>
  <sheetViews>
    <sheetView tabSelected="1" workbookViewId="0"/>
  </sheetViews>
  <sheetFormatPr defaultRowHeight="14.4" x14ac:dyDescent="0.3"/>
  <cols>
    <col min="1" max="1" width="10.5546875" bestFit="1" customWidth="1"/>
    <col min="2" max="2" width="13.77734375" bestFit="1" customWidth="1"/>
    <col min="3" max="3" width="15.88671875" bestFit="1" customWidth="1"/>
    <col min="4" max="4" width="20.5546875" bestFit="1" customWidth="1"/>
    <col min="5" max="5" width="42.5546875" bestFit="1" customWidth="1"/>
    <col min="6" max="8" width="1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46005</v>
      </c>
      <c r="B2" t="s">
        <v>8</v>
      </c>
      <c r="C2" t="s">
        <v>21</v>
      </c>
      <c r="D2" t="str">
        <f>VLOOKUP(C2,'[1]TB_WP_08_25 TAS'!$A:$B,2,FALSE)</f>
        <v>Bank BCA 7340333998</v>
      </c>
      <c r="E2" t="s">
        <v>10</v>
      </c>
      <c r="F2">
        <v>6000000</v>
      </c>
      <c r="H2">
        <f>F2-G2</f>
        <v>6000000</v>
      </c>
    </row>
    <row r="3" spans="1:8" x14ac:dyDescent="0.3">
      <c r="A3" s="1">
        <f>A2</f>
        <v>46005</v>
      </c>
      <c r="B3" t="s">
        <v>8</v>
      </c>
      <c r="C3" t="s">
        <v>9</v>
      </c>
      <c r="D3" t="str">
        <f>VLOOKUP(C3,'[1]TB_WP_08_25 TAS'!$A:$B,2,FALSE)</f>
        <v>Bank Index 9001033366</v>
      </c>
      <c r="E3" t="s">
        <v>10</v>
      </c>
      <c r="G3">
        <v>6000000</v>
      </c>
      <c r="H3">
        <f t="shared" ref="H3:H15" si="0">F3-G3</f>
        <v>-6000000</v>
      </c>
    </row>
    <row r="4" spans="1:8" x14ac:dyDescent="0.3">
      <c r="A4" s="1">
        <f t="shared" ref="A4:A15" si="1">A3</f>
        <v>46005</v>
      </c>
      <c r="B4" t="s">
        <v>11</v>
      </c>
      <c r="C4" t="s">
        <v>22</v>
      </c>
      <c r="D4" t="str">
        <f>VLOOKUP(C4,'[1]TB_WP_08_25 TAS'!$A:$B,2,FALSE)</f>
        <v>Petty Cash - Office</v>
      </c>
      <c r="E4" t="s">
        <v>12</v>
      </c>
      <c r="F4">
        <v>20000</v>
      </c>
      <c r="H4">
        <f t="shared" si="0"/>
        <v>20000</v>
      </c>
    </row>
    <row r="5" spans="1:8" x14ac:dyDescent="0.3">
      <c r="A5" s="1">
        <f t="shared" si="1"/>
        <v>46005</v>
      </c>
      <c r="B5" t="s">
        <v>11</v>
      </c>
      <c r="C5" t="s">
        <v>23</v>
      </c>
      <c r="D5" t="str">
        <f>VLOOKUP(C5,'[1]TB_WP_08_25 TAS'!$A:$B,2,FALSE)</f>
        <v>A/P Trade Creditor</v>
      </c>
      <c r="E5" t="s">
        <v>12</v>
      </c>
      <c r="G5">
        <v>20000</v>
      </c>
      <c r="H5">
        <f t="shared" si="0"/>
        <v>-20000</v>
      </c>
    </row>
    <row r="6" spans="1:8" x14ac:dyDescent="0.3">
      <c r="A6" s="1">
        <f t="shared" si="1"/>
        <v>46005</v>
      </c>
      <c r="B6" t="s">
        <v>13</v>
      </c>
      <c r="C6" t="s">
        <v>24</v>
      </c>
      <c r="D6" t="str">
        <f>VLOOKUP(C6,'[1]TB_WP_08_25 TAS'!$A:$B,2,FALSE)</f>
        <v xml:space="preserve">Cost of Merchandise Sold </v>
      </c>
      <c r="E6" t="s">
        <v>14</v>
      </c>
      <c r="F6">
        <v>250000000</v>
      </c>
      <c r="H6">
        <f t="shared" si="0"/>
        <v>250000000</v>
      </c>
    </row>
    <row r="7" spans="1:8" x14ac:dyDescent="0.3">
      <c r="A7" s="1">
        <f t="shared" si="1"/>
        <v>46005</v>
      </c>
      <c r="B7" t="s">
        <v>13</v>
      </c>
      <c r="C7" t="s">
        <v>25</v>
      </c>
      <c r="D7" t="str">
        <f>VLOOKUP(C7,'[1]TB_WP_08_25 TAS'!$A:$B,2,FALSE)</f>
        <v xml:space="preserve">Inventory Merchandise </v>
      </c>
      <c r="E7" t="s">
        <v>14</v>
      </c>
      <c r="G7">
        <v>250000000</v>
      </c>
      <c r="H7">
        <f t="shared" si="0"/>
        <v>-250000000</v>
      </c>
    </row>
    <row r="8" spans="1:8" x14ac:dyDescent="0.3">
      <c r="A8" s="1">
        <f t="shared" si="1"/>
        <v>46005</v>
      </c>
      <c r="B8" t="s">
        <v>15</v>
      </c>
      <c r="C8" t="s">
        <v>26</v>
      </c>
      <c r="D8" t="str">
        <f>VLOOKUP(C8,'[1]TB_WP_08_25 TAS'!$A:$B,2,FALSE)</f>
        <v>A/R Customer</v>
      </c>
      <c r="E8" t="s">
        <v>16</v>
      </c>
      <c r="F8">
        <v>275000</v>
      </c>
      <c r="H8">
        <f t="shared" si="0"/>
        <v>275000</v>
      </c>
    </row>
    <row r="9" spans="1:8" x14ac:dyDescent="0.3">
      <c r="A9" s="1">
        <f t="shared" si="1"/>
        <v>46005</v>
      </c>
      <c r="B9" t="s">
        <v>15</v>
      </c>
      <c r="C9" t="s">
        <v>21</v>
      </c>
      <c r="D9" t="str">
        <f>VLOOKUP(C9,'[1]TB_WP_08_25 TAS'!$A:$B,2,FALSE)</f>
        <v>Bank BCA 7340333998</v>
      </c>
      <c r="E9" t="s">
        <v>16</v>
      </c>
      <c r="G9">
        <v>275000</v>
      </c>
      <c r="H9">
        <f t="shared" si="0"/>
        <v>-275000</v>
      </c>
    </row>
    <row r="10" spans="1:8" x14ac:dyDescent="0.3">
      <c r="A10" s="1">
        <f t="shared" si="1"/>
        <v>46005</v>
      </c>
      <c r="B10" t="s">
        <v>17</v>
      </c>
      <c r="C10" t="s">
        <v>9</v>
      </c>
      <c r="D10" t="str">
        <f>VLOOKUP(C10,'[1]TB_WP_08_25 TAS'!$A:$B,2,FALSE)</f>
        <v>Bank Index 9001033366</v>
      </c>
      <c r="E10" t="s">
        <v>16</v>
      </c>
      <c r="F10">
        <v>275000</v>
      </c>
      <c r="H10">
        <f t="shared" si="0"/>
        <v>275000</v>
      </c>
    </row>
    <row r="11" spans="1:8" x14ac:dyDescent="0.3">
      <c r="A11" s="1">
        <f t="shared" si="1"/>
        <v>46005</v>
      </c>
      <c r="B11" t="s">
        <v>17</v>
      </c>
      <c r="C11" t="s">
        <v>22</v>
      </c>
      <c r="D11" t="str">
        <f>VLOOKUP(C11,'[1]TB_WP_08_25 TAS'!$A:$B,2,FALSE)</f>
        <v>Petty Cash - Office</v>
      </c>
      <c r="E11" t="s">
        <v>16</v>
      </c>
      <c r="G11">
        <v>275000</v>
      </c>
      <c r="H11">
        <f t="shared" si="0"/>
        <v>-275000</v>
      </c>
    </row>
    <row r="12" spans="1:8" x14ac:dyDescent="0.3">
      <c r="A12" s="1">
        <f t="shared" si="1"/>
        <v>46005</v>
      </c>
      <c r="B12" t="s">
        <v>18</v>
      </c>
      <c r="C12" t="s">
        <v>23</v>
      </c>
      <c r="D12" t="str">
        <f>VLOOKUP(C12,'[1]TB_WP_08_25 TAS'!$A:$B,2,FALSE)</f>
        <v>A/P Trade Creditor</v>
      </c>
      <c r="E12" t="s">
        <v>19</v>
      </c>
      <c r="F12">
        <v>200000</v>
      </c>
      <c r="H12">
        <f t="shared" si="0"/>
        <v>200000</v>
      </c>
    </row>
    <row r="13" spans="1:8" x14ac:dyDescent="0.3">
      <c r="A13" s="1">
        <f t="shared" si="1"/>
        <v>46005</v>
      </c>
      <c r="B13" t="s">
        <v>18</v>
      </c>
      <c r="C13" t="s">
        <v>24</v>
      </c>
      <c r="D13" t="str">
        <f>VLOOKUP(C13,'[1]TB_WP_08_25 TAS'!$A:$B,2,FALSE)</f>
        <v xml:space="preserve">Cost of Merchandise Sold </v>
      </c>
      <c r="E13" t="s">
        <v>19</v>
      </c>
      <c r="G13">
        <v>200000</v>
      </c>
      <c r="H13">
        <f t="shared" si="0"/>
        <v>-200000</v>
      </c>
    </row>
    <row r="14" spans="1:8" x14ac:dyDescent="0.3">
      <c r="A14" s="1">
        <f t="shared" si="1"/>
        <v>46005</v>
      </c>
      <c r="B14" t="s">
        <v>20</v>
      </c>
      <c r="C14" t="s">
        <v>25</v>
      </c>
      <c r="D14" t="str">
        <f>VLOOKUP(C14,'[1]TB_WP_08_25 TAS'!$A:$B,2,FALSE)</f>
        <v xml:space="preserve">Inventory Merchandise </v>
      </c>
      <c r="E14" t="s">
        <v>14</v>
      </c>
      <c r="F14">
        <v>100000000</v>
      </c>
      <c r="H14">
        <f t="shared" si="0"/>
        <v>100000000</v>
      </c>
    </row>
    <row r="15" spans="1:8" x14ac:dyDescent="0.3">
      <c r="A15" s="1">
        <f t="shared" si="1"/>
        <v>46005</v>
      </c>
      <c r="B15" t="s">
        <v>20</v>
      </c>
      <c r="C15" t="s">
        <v>26</v>
      </c>
      <c r="D15" t="str">
        <f>VLOOKUP(C15,'[1]TB_WP_08_25 TAS'!$A:$B,2,FALSE)</f>
        <v>A/R Customer</v>
      </c>
      <c r="E15" t="s">
        <v>14</v>
      </c>
      <c r="G15">
        <v>100000000</v>
      </c>
      <c r="H15">
        <f t="shared" si="0"/>
        <v>-100000000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nendi.purwana</dc:creator>
  <cp:lastModifiedBy>nendi.purwana</cp:lastModifiedBy>
  <dcterms:created xsi:type="dcterms:W3CDTF">2025-12-14T08:03:40Z</dcterms:created>
  <dcterms:modified xsi:type="dcterms:W3CDTF">2025-12-14T08:11:55Z</dcterms:modified>
</cp:coreProperties>
</file>